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y Plan" sheetId="1" r:id="rId5"/>
    <sheet state="visible" name="Learning Materials" sheetId="2" r:id="rId6"/>
  </sheets>
  <definedNames>
    <definedName hidden="1" localSheetId="0" name="_xlnm._FilterDatabase">'Study Plan'!$A$4:$R$111</definedName>
  </definedNames>
  <calcPr/>
</workbook>
</file>

<file path=xl/sharedStrings.xml><?xml version="1.0" encoding="utf-8"?>
<sst xmlns="http://schemas.openxmlformats.org/spreadsheetml/2006/main" count="1153" uniqueCount="404">
  <si>
    <t>LeetCode Zero-to-Hero Study Tracker</t>
  </si>
  <si>
    <t>Problems solved:</t>
  </si>
  <si>
    <t>Approaches done:</t>
  </si>
  <si>
    <t>Progress %:</t>
  </si>
  <si>
    <t>MUST done:</t>
  </si>
  <si>
    <t>Review mode: recall the approach in 30s — if instant, tick ✅ and move on; if you hesitated, code it. Never skip ⭐ MUST rows; "skip OK" rows go first if you run out of time.</t>
  </si>
  <si>
    <t>Order</t>
  </si>
  <si>
    <t>#</t>
  </si>
  <si>
    <t>Problem</t>
  </si>
  <si>
    <t>Session</t>
  </si>
  <si>
    <t>Phase</t>
  </si>
  <si>
    <t>Difficulty</t>
  </si>
  <si>
    <t>Priority</t>
  </si>
  <si>
    <t>Added</t>
  </si>
  <si>
    <t># Ways</t>
  </si>
  <si>
    <t>Solved</t>
  </si>
  <si>
    <t>Approach 1</t>
  </si>
  <si>
    <t>Done</t>
  </si>
  <si>
    <t>Approach 2</t>
  </si>
  <si>
    <t>Approach 3</t>
  </si>
  <si>
    <t>Approach 4</t>
  </si>
  <si>
    <t>PHASE 1 - Array &amp; Hashing</t>
  </si>
  <si>
    <t>Contains Duplicate</t>
  </si>
  <si>
    <t>Day 1 · Morning</t>
  </si>
  <si>
    <t>1 - Array &amp; Hashing</t>
  </si>
  <si>
    <t>Easy</t>
  </si>
  <si>
    <t>✅</t>
  </si>
  <si>
    <t>Brute force O(n²)</t>
  </si>
  <si>
    <t>Sorting</t>
  </si>
  <si>
    <t>Hash set</t>
  </si>
  <si>
    <t>Two Sum</t>
  </si>
  <si>
    <t>⭐ MUST</t>
  </si>
  <si>
    <t>Brute force</t>
  </si>
  <si>
    <t>Hash map (two-pass)</t>
  </si>
  <si>
    <t>Hash map (one-pass)</t>
  </si>
  <si>
    <t>Contains Duplicate II</t>
  </si>
  <si>
    <t>Hash map last index</t>
  </si>
  <si>
    <t>Sliding window set</t>
  </si>
  <si>
    <t>Valid Anagram</t>
  </si>
  <si>
    <t>⭐ NEW</t>
  </si>
  <si>
    <t>Frequency count array/map</t>
  </si>
  <si>
    <t>Majority Element</t>
  </si>
  <si>
    <t>Hash map counting</t>
  </si>
  <si>
    <t>Sorting (middle element)</t>
  </si>
  <si>
    <t>Boyer-Moore voting</t>
  </si>
  <si>
    <t>Third Maximum Number</t>
  </si>
  <si>
    <t>skip OK</t>
  </si>
  <si>
    <t>Sort + dedupe</t>
  </si>
  <si>
    <t>Three variables one-pass</t>
  </si>
  <si>
    <t>Set of size 3</t>
  </si>
  <si>
    <t>Summary Ranges</t>
  </si>
  <si>
    <t>Linear scan</t>
  </si>
  <si>
    <t>Two pointers</t>
  </si>
  <si>
    <t>Missing Number</t>
  </si>
  <si>
    <t>Gauss sum formula</t>
  </si>
  <si>
    <t>XOR</t>
  </si>
  <si>
    <t>Find All Numbers Disappeared in an Array</t>
  </si>
  <si>
    <t>Index marking (negation)</t>
  </si>
  <si>
    <t>☐</t>
  </si>
  <si>
    <t>Set Mismatch</t>
  </si>
  <si>
    <t>Math / XOR</t>
  </si>
  <si>
    <t>Intersection of Two Arrays II</t>
  </si>
  <si>
    <t>Sort + two pointers</t>
  </si>
  <si>
    <t>Longest Harmonious Subsequence</t>
  </si>
  <si>
    <t>Sort + sliding window</t>
  </si>
  <si>
    <t>Degree of an Array</t>
  </si>
  <si>
    <t>Maps of first/last index + count</t>
  </si>
  <si>
    <t>Can Place Flowers</t>
  </si>
  <si>
    <t>Greedy one-pass</t>
  </si>
  <si>
    <t>Pad-with-zeros trick</t>
  </si>
  <si>
    <t>Best Time to Buy and Sell Stock</t>
  </si>
  <si>
    <t>One-pass min tracking</t>
  </si>
  <si>
    <t>Kadane on daily diffs</t>
  </si>
  <si>
    <t>PHASE 2 - Prefix Sums</t>
  </si>
  <si>
    <t>Range Sum Query - Immutable</t>
  </si>
  <si>
    <t>2 - Prefix Sums</t>
  </si>
  <si>
    <t>Recompute each query</t>
  </si>
  <si>
    <t>Prefix sum array</t>
  </si>
  <si>
    <t>Find Pivot Index</t>
  </si>
  <si>
    <t>Total sum one-pass O(1) space</t>
  </si>
  <si>
    <t>Subarray Sum Equals K</t>
  </si>
  <si>
    <t>Med</t>
  </si>
  <si>
    <t>Brute force prefix</t>
  </si>
  <si>
    <t>Prefix sum + hash map</t>
  </si>
  <si>
    <t>Subarray Sums Divisible by K</t>
  </si>
  <si>
    <t>Prefix mod + hash map</t>
  </si>
  <si>
    <t>Continuous Subarray Sum</t>
  </si>
  <si>
    <t>PHASE 3 - Medium Arrays</t>
  </si>
  <si>
    <t>Maximum Subarray</t>
  </si>
  <si>
    <t>Day 1 · Afternoon</t>
  </si>
  <si>
    <t>3 - Medium Arrays</t>
  </si>
  <si>
    <t>Kadane's (DP)</t>
  </si>
  <si>
    <t>Divide &amp; conquer</t>
  </si>
  <si>
    <t>Maximum Sum Circular Subarray</t>
  </si>
  <si>
    <t>Kadane max + min trick</t>
  </si>
  <si>
    <t>Prefix sums + monotonic deque</t>
  </si>
  <si>
    <t>Best Time to Buy and Sell Stock II</t>
  </si>
  <si>
    <t>Greedy (sum positive gains)</t>
  </si>
  <si>
    <t>DP (hold/cash states)</t>
  </si>
  <si>
    <t>Rotate Array</t>
  </si>
  <si>
    <t>Extra array</t>
  </si>
  <si>
    <t>Triple reversal</t>
  </si>
  <si>
    <t>Cyclic replacements</t>
  </si>
  <si>
    <t>Product of Array Except Self</t>
  </si>
  <si>
    <t>Prefix &amp; suffix arrays</t>
  </si>
  <si>
    <t>Two-pass O(1) extra space</t>
  </si>
  <si>
    <t>Division (zero handling)</t>
  </si>
  <si>
    <t>Wiggle Sort</t>
  </si>
  <si>
    <t>Sort + swap neighbors</t>
  </si>
  <si>
    <t>One-pass greedy swap</t>
  </si>
  <si>
    <t>H-Index</t>
  </si>
  <si>
    <t>Sort + scan</t>
  </si>
  <si>
    <t>Counting / bucket sort</t>
  </si>
  <si>
    <t>Binary search</t>
  </si>
  <si>
    <t>Majority Element II</t>
  </si>
  <si>
    <t>Boyer-Moore (2 candidates)</t>
  </si>
  <si>
    <t>Group Anagrams</t>
  </si>
  <si>
    <t>Sorted-string as key</t>
  </si>
  <si>
    <t>Char-count tuple as key</t>
  </si>
  <si>
    <t>4Sum II</t>
  </si>
  <si>
    <t>Hash map of pair sums (meet in middle)</t>
  </si>
  <si>
    <t>Longest Consecutive Sequence</t>
  </si>
  <si>
    <t>Hash set + start-of-streak check</t>
  </si>
  <si>
    <t>Union-Find</t>
  </si>
  <si>
    <t>Longest Mountain in Array</t>
  </si>
  <si>
    <t>Up/down arrays (two passes)</t>
  </si>
  <si>
    <t>One-pass two pointers</t>
  </si>
  <si>
    <t>Shortest Unsorted Continuous Subarray</t>
  </si>
  <si>
    <t>Sort + compare</t>
  </si>
  <si>
    <t>Stack</t>
  </si>
  <si>
    <t>Min/max boundary scan O(1) space</t>
  </si>
  <si>
    <t>Find the Duplicate Number</t>
  </si>
  <si>
    <t>Binary search on value</t>
  </si>
  <si>
    <t>Floyd's cycle detection</t>
  </si>
  <si>
    <t>Next Permutation</t>
  </si>
  <si>
    <t>Pivot + swap + reverse (standard)</t>
  </si>
  <si>
    <t>First Missing Positive</t>
  </si>
  <si>
    <t>Hard</t>
  </si>
  <si>
    <t>Hash set O(n) space</t>
  </si>
  <si>
    <t>Index marking O(1) space</t>
  </si>
  <si>
    <t>Cyclic sort</t>
  </si>
  <si>
    <t>PHASE 4 - Two Pointers</t>
  </si>
  <si>
    <t>Valid Palindrome</t>
  </si>
  <si>
    <t>Day 1 · Evening</t>
  </si>
  <si>
    <t>4 - Two Pointers</t>
  </si>
  <si>
    <t>Filter + reverse compare</t>
  </si>
  <si>
    <t>Squares of a Sorted Array</t>
  </si>
  <si>
    <t>Square then sort</t>
  </si>
  <si>
    <t>Two pointers from ends</t>
  </si>
  <si>
    <t>Move Zeroes</t>
  </si>
  <si>
    <t>Copy non-zeros + fill</t>
  </si>
  <si>
    <t>Slow/fast pointer swap</t>
  </si>
  <si>
    <t>Remove Duplicates from Sorted Array</t>
  </si>
  <si>
    <t>Slow/fast two pointers</t>
  </si>
  <si>
    <t>Remove Element</t>
  </si>
  <si>
    <t>Two pointers (same direction)</t>
  </si>
  <si>
    <t>Two pointers (swap from end)</t>
  </si>
  <si>
    <t>Merge Sorted Array</t>
  </si>
  <si>
    <t>Merge then sort</t>
  </si>
  <si>
    <t>Forward merge (extra space)</t>
  </si>
  <si>
    <t>Backward three pointers</t>
  </si>
  <si>
    <t>Is Subsequence</t>
  </si>
  <si>
    <t>Index map + binary search (follow-up)</t>
  </si>
  <si>
    <t>Backspace String Compare</t>
  </si>
  <si>
    <t>Build with stacks</t>
  </si>
  <si>
    <t>Backwards two pointers O(1) space</t>
  </si>
  <si>
    <t>Middle of the Linked List</t>
  </si>
  <si>
    <t>Count then walk</t>
  </si>
  <si>
    <t>Fast/slow pointers</t>
  </si>
  <si>
    <t>Linked List Cycle</t>
  </si>
  <si>
    <t>Hash set of nodes</t>
  </si>
  <si>
    <t>Floyd's fast/slow pointers</t>
  </si>
  <si>
    <t>Two Sum II - Input Array Is Sorted</t>
  </si>
  <si>
    <t>Binary search per element</t>
  </si>
  <si>
    <t>3Sum</t>
  </si>
  <si>
    <t>Hash set per pair</t>
  </si>
  <si>
    <t>3Sum Closest</t>
  </si>
  <si>
    <t>4Sum</t>
  </si>
  <si>
    <t>Sort + nested two pointers</t>
  </si>
  <si>
    <t>Generalized kSum recursion</t>
  </si>
  <si>
    <t>Container With Most Water</t>
  </si>
  <si>
    <t>Two pointers greedy</t>
  </si>
  <si>
    <t>Trapping Rain Water</t>
  </si>
  <si>
    <t>Brute per index</t>
  </si>
  <si>
    <t>Prefix max arrays (DP)</t>
  </si>
  <si>
    <t>Monotonic stack</t>
  </si>
  <si>
    <t>PHASE 5 - Sliding Window</t>
  </si>
  <si>
    <t>Maximum Average Subarray I</t>
  </si>
  <si>
    <t>Day 2 · Morning</t>
  </si>
  <si>
    <t>5 - Sliding Window</t>
  </si>
  <si>
    <t>Prefix sums</t>
  </si>
  <si>
    <t>Fixed sliding window</t>
  </si>
  <si>
    <t>Minimum Size Subarray Sum</t>
  </si>
  <si>
    <t>Sliding window</t>
  </si>
  <si>
    <t>Prefix sums + binary search</t>
  </si>
  <si>
    <t>Subarray Product Less Than K</t>
  </si>
  <si>
    <t>Prefix of logs + binary search</t>
  </si>
  <si>
    <t>Longest Substring Without Repeating Characters</t>
  </si>
  <si>
    <t>Sliding window + set</t>
  </si>
  <si>
    <t>Sliding window + index map (jump)</t>
  </si>
  <si>
    <t>Maximum Erasure Value</t>
  </si>
  <si>
    <t>Sliding window + set + running sum</t>
  </si>
  <si>
    <t>Prefix sums + last-seen map</t>
  </si>
  <si>
    <t>Fruit Into Baskets</t>
  </si>
  <si>
    <t>Sliding window + count map</t>
  </si>
  <si>
    <t>Longest Substring with At Most Two Distinct Characters</t>
  </si>
  <si>
    <t>Longest Substring with At Most K Distinct Characters</t>
  </si>
  <si>
    <t>Ordered map of last positions</t>
  </si>
  <si>
    <t>Max Consecutive Ones III</t>
  </si>
  <si>
    <t>Sliding window (zero count)</t>
  </si>
  <si>
    <t>Non-shrinking window trick</t>
  </si>
  <si>
    <t>Longest Subarray of 1's After Deleting One Element</t>
  </si>
  <si>
    <t>Sliding window (≤1 zero)</t>
  </si>
  <si>
    <t>Left/right ones arrays</t>
  </si>
  <si>
    <t>Longest Repeating Character Replacement</t>
  </si>
  <si>
    <t>Sliding window + maxFreq</t>
  </si>
  <si>
    <t>Binary search on answer length</t>
  </si>
  <si>
    <t>Permutation in String</t>
  </si>
  <si>
    <t>Sort every substring</t>
  </si>
  <si>
    <t>Fixed window + count compare</t>
  </si>
  <si>
    <t>Matches counter optimization</t>
  </si>
  <si>
    <t>Find All Anagrams in a String</t>
  </si>
  <si>
    <t>Count Number of Nice Subarrays</t>
  </si>
  <si>
    <t>atMost(k) - atMost(k-1)</t>
  </si>
  <si>
    <t>Prefix odd-count + hash map</t>
  </si>
  <si>
    <t>Indices of odd numbers (math)</t>
  </si>
  <si>
    <t>Minimum Operations to Reduce X to Zero</t>
  </si>
  <si>
    <t>Max middle window = total - x</t>
  </si>
  <si>
    <t>Prefix + suffix sums + hash map</t>
  </si>
  <si>
    <t>Sliding Window Maximum</t>
  </si>
  <si>
    <t>Monotonic deque</t>
  </si>
  <si>
    <t>Block max / sparse table</t>
  </si>
  <si>
    <t>Minimum Window Substring</t>
  </si>
  <si>
    <t>Sliding window + counts</t>
  </si>
  <si>
    <t>Filtered string optimization</t>
  </si>
  <si>
    <t>PHASE 6 - Stack &amp; Queue</t>
  </si>
  <si>
    <t>Valid Parentheses</t>
  </si>
  <si>
    <t>Day 2 · Afternoon</t>
  </si>
  <si>
    <t>6 - Stack &amp; Queue</t>
  </si>
  <si>
    <t>Stack + bracket map</t>
  </si>
  <si>
    <t>Repeated pair removal (slow)</t>
  </si>
  <si>
    <t>Remove All Adjacent Duplicates In String</t>
  </si>
  <si>
    <t>Two pointers in-place</t>
  </si>
  <si>
    <t>Make The String Great</t>
  </si>
  <si>
    <t>Repeated scan removal</t>
  </si>
  <si>
    <t>Baseball Game</t>
  </si>
  <si>
    <t>Stack simulation</t>
  </si>
  <si>
    <t>Implement Queue using Stacks</t>
  </si>
  <si>
    <t>Costly push (two stacks)</t>
  </si>
  <si>
    <t>Amortized pop (two stacks)</t>
  </si>
  <si>
    <t>Implement Stack using Queues</t>
  </si>
  <si>
    <t>Two queues</t>
  </si>
  <si>
    <t>One queue (rotate on push)</t>
  </si>
  <si>
    <t>Moving Average from Data Stream</t>
  </si>
  <si>
    <t>Queue/deque + running sum</t>
  </si>
  <si>
    <t>Circular buffer</t>
  </si>
  <si>
    <t>Min Stack</t>
  </si>
  <si>
    <t>Stack of (val, min) pairs</t>
  </si>
  <si>
    <t>Two stacks</t>
  </si>
  <si>
    <t>One stack storing diffs</t>
  </si>
  <si>
    <t>Next Greater Element I</t>
  </si>
  <si>
    <t>Monotonic stack + hash map</t>
  </si>
  <si>
    <t>Removing Stars From a String</t>
  </si>
  <si>
    <t>Minimum Add to Make Parentheses Valid</t>
  </si>
  <si>
    <t>Two counters O(1) space</t>
  </si>
  <si>
    <t>Validate Stack Sequences</t>
  </si>
  <si>
    <t>In-place pointer simulation</t>
  </si>
  <si>
    <t>Simplify Path</t>
  </si>
  <si>
    <t>Split + stack of components</t>
  </si>
  <si>
    <t>Evaluate Reverse Polish Notation</t>
  </si>
  <si>
    <t>Recursion from the end</t>
  </si>
  <si>
    <t>Decode String</t>
  </si>
  <si>
    <t>Two stacks (counts + strings)</t>
  </si>
  <si>
    <t>Recursion / DFS</t>
  </si>
  <si>
    <t>Score of Parentheses</t>
  </si>
  <si>
    <t>Stack of scores</t>
  </si>
  <si>
    <t>Count cores by depth O(1) space</t>
  </si>
  <si>
    <t>Asteroid Collision</t>
  </si>
  <si>
    <t>Daily Temperatures</t>
  </si>
  <si>
    <t>Backwards jumping (O(1) space)</t>
  </si>
  <si>
    <t>Next Greater Element II</t>
  </si>
  <si>
    <t>Brute force (loop twice)</t>
  </si>
  <si>
    <t>Monotonic stack over 2n indices</t>
  </si>
  <si>
    <t>Online Stock Span</t>
  </si>
  <si>
    <t>Brute back-count</t>
  </si>
  <si>
    <t>Monotonic stack of (price, span)</t>
  </si>
  <si>
    <t>Remove K Digits</t>
  </si>
  <si>
    <t>Greedy monotonic stack</t>
  </si>
  <si>
    <t>Brute force removals (slow)</t>
  </si>
  <si>
    <t>Car Fleet</t>
  </si>
  <si>
    <t>Sort by position + time scan</t>
  </si>
  <si>
    <t>Sort + stack of arrival times</t>
  </si>
  <si>
    <t>Basic Calculator II</t>
  </si>
  <si>
    <t>Day 2 · Evening</t>
  </si>
  <si>
    <t>Stack of terms</t>
  </si>
  <si>
    <t>O(1) space with last-number tracking</t>
  </si>
  <si>
    <t>Exclusive Time of Functions</t>
  </si>
  <si>
    <t>Stack of call frames</t>
  </si>
  <si>
    <t>Design Hit Counter</t>
  </si>
  <si>
    <t>Queue of timestamps</t>
  </si>
  <si>
    <t>Circular arrays of size 300</t>
  </si>
  <si>
    <t>Flatten Nested List Iterator</t>
  </si>
  <si>
    <t>Pre-flatten with DFS</t>
  </si>
  <si>
    <t>Lazy stack of iterators</t>
  </si>
  <si>
    <t>132 Pattern</t>
  </si>
  <si>
    <t>Monotonic stack from right</t>
  </si>
  <si>
    <t>Min-array + stack</t>
  </si>
  <si>
    <t>Sum of Subarray Minimums</t>
  </si>
  <si>
    <t>Monotonic stack (contribution counting)</t>
  </si>
  <si>
    <t>DP with stack</t>
  </si>
  <si>
    <t>Maximum Frequency Stack</t>
  </si>
  <si>
    <t>Heap with (freq, time)</t>
  </si>
  <si>
    <t>Map of stacks per frequency</t>
  </si>
  <si>
    <t>Longest Valid Parentheses</t>
  </si>
  <si>
    <t>DP</t>
  </si>
  <si>
    <t>Stack of indices</t>
  </si>
  <si>
    <t>Two-pass counters O(1) space</t>
  </si>
  <si>
    <t>Basic Calculator</t>
  </si>
  <si>
    <t>Stack of (result, sign)</t>
  </si>
  <si>
    <t>Recursion on parentheses</t>
  </si>
  <si>
    <t>Largest Rectangle in Histogram</t>
  </si>
  <si>
    <t>Learning Materials — read/watch BEFORE each phase block</t>
  </si>
  <si>
    <t>Type</t>
  </si>
  <si>
    <t>Resource</t>
  </si>
  <si>
    <t>Link</t>
  </si>
  <si>
    <t>Why / when to use it</t>
  </si>
  <si>
    <t>GENERAL — use these throughout both days</t>
  </si>
  <si>
    <t>Course</t>
  </si>
  <si>
    <t>NeetCode Roadmap (free)</t>
  </si>
  <si>
    <t>https://neetcode.io/roadmap</t>
  </si>
  <si>
    <t>Pattern-ordered problem map; most of your list overlaps with it</t>
  </si>
  <si>
    <t>Video</t>
  </si>
  <si>
    <t>NeetCode YouTube channel</t>
  </si>
  <si>
    <t>https://www.youtube.com/c/NeetCode</t>
  </si>
  <si>
    <t>Search 'NeetCode + problem name' — he covers ~80% of your list with clear whiteboard explanations</t>
  </si>
  <si>
    <t>Article</t>
  </si>
  <si>
    <t>Tech Interview Handbook — Algorithms</t>
  </si>
  <si>
    <t>https://www.techinterviewhandbook.org/algorithms/study-cheatsheet/</t>
  </si>
  <si>
    <t>Concise cheatsheets per topic; ideal for 2-day review</t>
  </si>
  <si>
    <t>Tool</t>
  </si>
  <si>
    <t>VisuAlgo</t>
  </si>
  <si>
    <t>https://visualgo.net/en</t>
  </si>
  <si>
    <t>Animated visualizations of data structures</t>
  </si>
  <si>
    <t>Reference</t>
  </si>
  <si>
    <t>CP-Algorithms</t>
  </si>
  <si>
    <t>https://cp-algorithms.com/</t>
  </si>
  <si>
    <t>Deeper theory when an editorial isn't enough</t>
  </si>
  <si>
    <t>PHASE 1 — Arrays &amp; Hashing</t>
  </si>
  <si>
    <t>Hash Table basics (LeetCode Explore card)</t>
  </si>
  <si>
    <t>https://leetcode.com/explore/learn/card/hash-table/</t>
  </si>
  <si>
    <t>Read 'Practical Application' sections before problems 1-13</t>
  </si>
  <si>
    <t>Boyer-Moore Majority Vote</t>
  </si>
  <si>
    <t>https://en.wikipedia.org/wiki/Boyer%E2%80%93Moore_majority_vote_algorithm</t>
  </si>
  <si>
    <t>Needed for #169 and #229 — read the intuition, not just the code</t>
  </si>
  <si>
    <t>Tech Interview Handbook — Array tips</t>
  </si>
  <si>
    <t>https://www.techinterviewhandbook.org/algorithms/array/</t>
  </si>
  <si>
    <t>Common tricks, edge cases, and corner-case checklist</t>
  </si>
  <si>
    <t>PHASE 2 — Prefix Sums</t>
  </si>
  <si>
    <t>USACO Guide — Prefix Sums</t>
  </si>
  <si>
    <t>https://usaco.guide/silver/prefix-sums</t>
  </si>
  <si>
    <t>Best structured intro; covers the prefix + hash map idea behind #560/#974/#523</t>
  </si>
  <si>
    <t>GfG — Prefix Sum technique</t>
  </si>
  <si>
    <t>https://www.geeksforgeeks.org/prefix-sum-array-implementation-applications-competitive-programming/</t>
  </si>
  <si>
    <t>Quick refresher with examples</t>
  </si>
  <si>
    <t>PHASE 3 — Medium Array Techniques</t>
  </si>
  <si>
    <t>Kadane's Algorithm (GfG)</t>
  </si>
  <si>
    <t>https://www.geeksforgeeks.org/largest-sum-contiguous-subarray/</t>
  </si>
  <si>
    <t>Foundation for #53 and #918 — understand WHY resetting at negative sums works</t>
  </si>
  <si>
    <t>Floyd's Cycle Detection</t>
  </si>
  <si>
    <t>https://en.wikipedia.org/wiki/Cycle_detection</t>
  </si>
  <si>
    <t>Theory behind #287 and #141 — the array-as-linked-list insight</t>
  </si>
  <si>
    <t>Next Permutation explained (GfG)</t>
  </si>
  <si>
    <t>https://www.geeksforgeeks.org/next-permutation/</t>
  </si>
  <si>
    <t>Step-by-step walkthrough for #31, the trickiest medium here</t>
  </si>
  <si>
    <t>PHASE 4 — Two Pointers</t>
  </si>
  <si>
    <t>Tech Interview Handbook — Two Pointers (in Array section)</t>
  </si>
  <si>
    <t>Covers opposite-ends vs same-direction patterns</t>
  </si>
  <si>
    <t>LeetCode Explore — Array &amp; String card</t>
  </si>
  <si>
    <t>https://leetcode.com/explore/learn/card/array-and-string/</t>
  </si>
  <si>
    <t>Has a dedicated two-pointer chapter with practice</t>
  </si>
  <si>
    <t>NeetCode — 3Sum &amp; Trapping Rain Water</t>
  </si>
  <si>
    <t>Watch these two even if you solve them — his pointer-movement reasoning generalizes</t>
  </si>
  <si>
    <t>PHASE 5 — Sliding Window</t>
  </si>
  <si>
    <t>GfG — Window Sliding Technique</t>
  </si>
  <si>
    <t>https://www.geeksforgeeks.org/window-sliding-technique/</t>
  </si>
  <si>
    <t>Fixed-size window basics for #643/#567/#438</t>
  </si>
  <si>
    <t>Sliding window template (LeetCode Discuss)</t>
  </si>
  <si>
    <t>https://leetcode.com/discuss/study-guide</t>
  </si>
  <si>
    <t>Search 'sliding window template' in study guides — learn ONE template, apply to all 17 problems</t>
  </si>
  <si>
    <t>USACO Guide — Sliding Window</t>
  </si>
  <si>
    <t>https://usaco.guide/gold/sliding-window</t>
  </si>
  <si>
    <t>Includes the monotonic deque needed for #239</t>
  </si>
  <si>
    <t>PHASE 6 — Stack &amp; Queue</t>
  </si>
  <si>
    <t>LeetCode Explore — Queue &amp; Stack card</t>
  </si>
  <si>
    <t>https://leetcode.com/explore/learn/card/queue-stack/</t>
  </si>
  <si>
    <t>Full chapter: do it before problems 70-77</t>
  </si>
  <si>
    <t>GfG — Introduction to Monotonic Stack</t>
  </si>
  <si>
    <t>https://www.geeksforgeeks.org/introduction-to-monotonic-stack/</t>
  </si>
  <si>
    <t>THE key concept for #496/#739/#503/#901/#402/#907/#84</t>
  </si>
  <si>
    <t>CP-Algorithms — Min stack / Min queue</t>
  </si>
  <si>
    <t>https://cp-algorithms.com/data_structures/stack_queue_modification.html</t>
  </si>
  <si>
    <t>Deeper theory for #155 and #239</t>
  </si>
  <si>
    <t>NeetCode — Largest Rectangle in Histogram</t>
  </si>
  <si>
    <t>Watch after attempting #84; best visual explanation of the hardest problem on your 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</si>
</sst>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4.0"/>
      <color rgb="FF1F4E78"/>
      <name val="Arial"/>
    </font>
    <font>
      <sz val="11.0"/>
      <color theme="1"/>
      <name val="Calibri"/>
    </font>
    <font>
      <b/>
      <sz val="10.0"/>
      <color theme="1"/>
      <name val="Arial"/>
    </font>
    <font>
      <b/>
      <sz val="10.0"/>
      <color rgb="FF0000FF"/>
      <name val="Arial"/>
    </font>
    <font>
      <i/>
      <sz val="9.0"/>
      <color rgb="FF808080"/>
      <name val="Arial"/>
    </font>
    <font>
      <b/>
      <sz val="10.0"/>
      <color rgb="FFFFFFFF"/>
      <name val="Arial"/>
    </font>
    <font>
      <b/>
      <sz val="10.0"/>
      <color rgb="FF1F4E78"/>
      <name val="Arial"/>
    </font>
    <font/>
    <font>
      <sz val="10.0"/>
      <color theme="1"/>
      <name val="Arial"/>
    </font>
    <font>
      <u/>
      <sz val="10.0"/>
      <color rgb="FF0563C1"/>
      <name val="Arial"/>
    </font>
    <font>
      <sz val="10.0"/>
      <color rgb="FF006100"/>
      <name val="Arial"/>
    </font>
    <font>
      <b/>
      <sz val="10.0"/>
      <color rgb="FFC00000"/>
      <name val="Arial"/>
    </font>
    <font>
      <i/>
      <sz val="10.0"/>
      <color rgb="FF808080"/>
      <name val="Arial"/>
    </font>
    <font>
      <sz val="10.0"/>
      <color rgb="FF9C6500"/>
      <name val="Arial"/>
    </font>
    <font>
      <sz val="10.0"/>
      <color rgb="FF9C0006"/>
      <name val="Arial"/>
    </font>
    <font>
      <b/>
      <sz val="13.0"/>
      <color rgb="FF1F4E78"/>
      <name val="Arial"/>
    </font>
    <font>
      <u/>
      <sz val="10.0"/>
      <color rgb="FF0563C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C6EFCE"/>
        <bgColor rgb="FFC6EFCE"/>
      </patternFill>
    </fill>
    <fill>
      <patternFill patternType="solid">
        <fgColor rgb="FFE4DFEC"/>
        <bgColor rgb="FFE4DFEC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FCE4D6"/>
        <bgColor rgb="FFFCE4D6"/>
      </patternFill>
    </fill>
  </fills>
  <borders count="5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" fontId="6" numFmtId="0" xfId="0" applyAlignment="1" applyBorder="1" applyFill="1" applyFont="1">
      <alignment horizontal="center" shrinkToFit="0" vertical="center" wrapText="1"/>
    </xf>
    <xf borderId="2" fillId="3" fontId="7" numFmtId="0" xfId="0" applyAlignment="1" applyBorder="1" applyFill="1" applyFont="1">
      <alignment horizontal="left" shrinkToFit="0" vertical="center" wrapText="0"/>
    </xf>
    <xf borderId="3" fillId="0" fontId="8" numFmtId="0" xfId="0" applyBorder="1" applyFont="1"/>
    <xf borderId="4" fillId="0" fontId="8" numFmtId="0" xfId="0" applyBorder="1" applyFont="1"/>
    <xf borderId="1" fillId="0" fontId="9" numFmtId="0" xfId="0" applyAlignment="1" applyBorder="1" applyFont="1">
      <alignment horizontal="center" shrinkToFit="0" vertical="center" wrapText="0"/>
    </xf>
    <xf borderId="1" fillId="0" fontId="10" numFmtId="0" xfId="0" applyAlignment="1" applyBorder="1" applyFont="1">
      <alignment shrinkToFit="0" vertical="center" wrapText="1"/>
    </xf>
    <xf borderId="1" fillId="3" fontId="9" numFmtId="0" xfId="0" applyAlignment="1" applyBorder="1" applyFont="1">
      <alignment shrinkToFit="0" vertical="center" wrapText="0"/>
    </xf>
    <xf borderId="1" fillId="0" fontId="9" numFmtId="0" xfId="0" applyAlignment="1" applyBorder="1" applyFont="1">
      <alignment shrinkToFit="0" vertical="center" wrapText="0"/>
    </xf>
    <xf borderId="1" fillId="4" fontId="11" numFmtId="0" xfId="0" applyAlignment="1" applyBorder="1" applyFill="1" applyFont="1">
      <alignment horizontal="center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9" numFmtId="0" xfId="0" applyAlignment="1" applyBorder="1" applyFont="1">
      <alignment shrinkToFit="0" vertical="center" wrapText="1"/>
    </xf>
    <xf borderId="1" fillId="0" fontId="12" numFmtId="0" xfId="0" applyAlignment="1" applyBorder="1" applyFont="1">
      <alignment horizontal="center" shrinkToFit="0" vertical="center" wrapText="0"/>
    </xf>
    <xf borderId="1" fillId="5" fontId="9" numFmtId="0" xfId="0" applyAlignment="1" applyBorder="1" applyFill="1" applyFont="1">
      <alignment shrinkToFit="0" vertical="center" wrapText="0"/>
    </xf>
    <xf borderId="1" fillId="0" fontId="13" numFmtId="0" xfId="0" applyAlignment="1" applyBorder="1" applyFont="1">
      <alignment horizontal="center" shrinkToFit="0" vertical="center" wrapText="0"/>
    </xf>
    <xf borderId="1" fillId="6" fontId="14" numFmtId="0" xfId="0" applyAlignment="1" applyBorder="1" applyFill="1" applyFont="1">
      <alignment horizontal="center" shrinkToFit="0" vertical="center" wrapText="0"/>
    </xf>
    <xf borderId="1" fillId="7" fontId="15" numFmtId="0" xfId="0" applyAlignment="1" applyBorder="1" applyFill="1" applyFont="1">
      <alignment horizontal="center" shrinkToFit="0" vertical="center" wrapText="0"/>
    </xf>
    <xf borderId="1" fillId="8" fontId="9" numFmtId="0" xfId="0" applyAlignment="1" applyBorder="1" applyFill="1" applyFont="1">
      <alignment shrinkToFit="0" vertical="center" wrapText="0"/>
    </xf>
    <xf borderId="0" fillId="0" fontId="16" numFmtId="0" xfId="0" applyAlignment="1" applyFont="1">
      <alignment shrinkToFit="0" vertical="bottom" wrapText="0"/>
    </xf>
    <xf borderId="1" fillId="2" fontId="6" numFmtId="0" xfId="0" applyAlignment="1" applyBorder="1" applyFont="1">
      <alignment horizontal="center" shrinkToFit="0" vertical="center" wrapText="0"/>
    </xf>
    <xf borderId="2" fillId="3" fontId="7" numFmtId="0" xfId="0" applyAlignment="1" applyBorder="1" applyFont="1">
      <alignment shrinkToFit="0" vertical="bottom" wrapText="0"/>
    </xf>
    <xf borderId="1" fillId="0" fontId="17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remove-duplicates-from-sorted-array/" TargetMode="External"/><Relationship Id="rId42" Type="http://schemas.openxmlformats.org/officeDocument/2006/relationships/hyperlink" Target="https://leetcode.com/problems/merge-sorted-array/" TargetMode="External"/><Relationship Id="rId41" Type="http://schemas.openxmlformats.org/officeDocument/2006/relationships/hyperlink" Target="https://leetcode.com/problems/remove-element/" TargetMode="External"/><Relationship Id="rId44" Type="http://schemas.openxmlformats.org/officeDocument/2006/relationships/hyperlink" Target="https://leetcode.com/problems/backspace-string-compare/" TargetMode="External"/><Relationship Id="rId43" Type="http://schemas.openxmlformats.org/officeDocument/2006/relationships/hyperlink" Target="https://leetcode.com/problems/is-subsequence/" TargetMode="External"/><Relationship Id="rId46" Type="http://schemas.openxmlformats.org/officeDocument/2006/relationships/hyperlink" Target="https://leetcode.com/problems/linked-list-cycle/" TargetMode="External"/><Relationship Id="rId45" Type="http://schemas.openxmlformats.org/officeDocument/2006/relationships/hyperlink" Target="https://leetcode.com/problems/middle-of-the-linked-list/" TargetMode="External"/><Relationship Id="rId48" Type="http://schemas.openxmlformats.org/officeDocument/2006/relationships/hyperlink" Target="https://leetcode.com/problems/3sum/" TargetMode="External"/><Relationship Id="rId47" Type="http://schemas.openxmlformats.org/officeDocument/2006/relationships/hyperlink" Target="https://leetcode.com/problems/two-sum-ii-input-array-is-sorted/" TargetMode="External"/><Relationship Id="rId49" Type="http://schemas.openxmlformats.org/officeDocument/2006/relationships/hyperlink" Target="https://leetcode.com/problems/3sum-closest/" TargetMode="External"/><Relationship Id="rId102" Type="http://schemas.openxmlformats.org/officeDocument/2006/relationships/drawing" Target="../drawings/drawing1.xml"/><Relationship Id="rId101" Type="http://schemas.openxmlformats.org/officeDocument/2006/relationships/hyperlink" Target="https://leetcode.com/problems/largest-rectangle-in-histogram/" TargetMode="External"/><Relationship Id="rId100" Type="http://schemas.openxmlformats.org/officeDocument/2006/relationships/hyperlink" Target="https://leetcode.com/problems/basic-calculator/" TargetMode="External"/><Relationship Id="rId31" Type="http://schemas.openxmlformats.org/officeDocument/2006/relationships/hyperlink" Target="https://leetcode.com/problems/longest-consecutive-sequence/" TargetMode="External"/><Relationship Id="rId30" Type="http://schemas.openxmlformats.org/officeDocument/2006/relationships/hyperlink" Target="https://leetcode.com/problems/4sum-ii/" TargetMode="External"/><Relationship Id="rId33" Type="http://schemas.openxmlformats.org/officeDocument/2006/relationships/hyperlink" Target="https://leetcode.com/problems/shortest-unsorted-continuous-subarray/" TargetMode="External"/><Relationship Id="rId32" Type="http://schemas.openxmlformats.org/officeDocument/2006/relationships/hyperlink" Target="https://leetcode.com/problems/longest-mountain-in-array/" TargetMode="External"/><Relationship Id="rId35" Type="http://schemas.openxmlformats.org/officeDocument/2006/relationships/hyperlink" Target="https://leetcode.com/problems/next-permutation/" TargetMode="External"/><Relationship Id="rId34" Type="http://schemas.openxmlformats.org/officeDocument/2006/relationships/hyperlink" Target="https://leetcode.com/problems/find-the-duplicate-number/" TargetMode="External"/><Relationship Id="rId37" Type="http://schemas.openxmlformats.org/officeDocument/2006/relationships/hyperlink" Target="https://leetcode.com/problems/valid-palindrome/" TargetMode="External"/><Relationship Id="rId36" Type="http://schemas.openxmlformats.org/officeDocument/2006/relationships/hyperlink" Target="https://leetcode.com/problems/first-missing-positive/" TargetMode="External"/><Relationship Id="rId39" Type="http://schemas.openxmlformats.org/officeDocument/2006/relationships/hyperlink" Target="https://leetcode.com/problems/move-zeroes/" TargetMode="External"/><Relationship Id="rId38" Type="http://schemas.openxmlformats.org/officeDocument/2006/relationships/hyperlink" Target="https://leetcode.com/problems/squares-of-a-sorted-array/" TargetMode="External"/><Relationship Id="rId20" Type="http://schemas.openxmlformats.org/officeDocument/2006/relationships/hyperlink" Target="https://leetcode.com/problems/continuous-subarray-sum/" TargetMode="External"/><Relationship Id="rId22" Type="http://schemas.openxmlformats.org/officeDocument/2006/relationships/hyperlink" Target="https://leetcode.com/problems/maximum-sum-circular-subarray/" TargetMode="External"/><Relationship Id="rId21" Type="http://schemas.openxmlformats.org/officeDocument/2006/relationships/hyperlink" Target="https://leetcode.com/problems/maximum-subarray/" TargetMode="External"/><Relationship Id="rId24" Type="http://schemas.openxmlformats.org/officeDocument/2006/relationships/hyperlink" Target="https://leetcode.com/problems/rotate-array/" TargetMode="External"/><Relationship Id="rId23" Type="http://schemas.openxmlformats.org/officeDocument/2006/relationships/hyperlink" Target="https://leetcode.com/problems/best-time-to-buy-and-sell-stock-ii/" TargetMode="External"/><Relationship Id="rId26" Type="http://schemas.openxmlformats.org/officeDocument/2006/relationships/hyperlink" Target="https://leetcode.com/problems/wiggle-sort/" TargetMode="External"/><Relationship Id="rId25" Type="http://schemas.openxmlformats.org/officeDocument/2006/relationships/hyperlink" Target="https://leetcode.com/problems/product-of-array-except-self/" TargetMode="External"/><Relationship Id="rId28" Type="http://schemas.openxmlformats.org/officeDocument/2006/relationships/hyperlink" Target="https://leetcode.com/problems/majority-element-ii/" TargetMode="External"/><Relationship Id="rId27" Type="http://schemas.openxmlformats.org/officeDocument/2006/relationships/hyperlink" Target="https://leetcode.com/problems/h-index/" TargetMode="External"/><Relationship Id="rId29" Type="http://schemas.openxmlformats.org/officeDocument/2006/relationships/hyperlink" Target="https://leetcode.com/problems/group-anagrams/" TargetMode="External"/><Relationship Id="rId95" Type="http://schemas.openxmlformats.org/officeDocument/2006/relationships/hyperlink" Target="https://leetcode.com/problems/flatten-nested-list-iterator/" TargetMode="External"/><Relationship Id="rId94" Type="http://schemas.openxmlformats.org/officeDocument/2006/relationships/hyperlink" Target="https://leetcode.com/problems/design-hit-counter/" TargetMode="External"/><Relationship Id="rId97" Type="http://schemas.openxmlformats.org/officeDocument/2006/relationships/hyperlink" Target="https://leetcode.com/problems/sum-of-subarray-minimums/" TargetMode="External"/><Relationship Id="rId96" Type="http://schemas.openxmlformats.org/officeDocument/2006/relationships/hyperlink" Target="https://leetcode.com/problems/132-pattern/" TargetMode="External"/><Relationship Id="rId11" Type="http://schemas.openxmlformats.org/officeDocument/2006/relationships/hyperlink" Target="https://leetcode.com/problems/intersection-of-two-arrays-ii/" TargetMode="External"/><Relationship Id="rId99" Type="http://schemas.openxmlformats.org/officeDocument/2006/relationships/hyperlink" Target="https://leetcode.com/problems/longest-valid-parentheses/" TargetMode="External"/><Relationship Id="rId10" Type="http://schemas.openxmlformats.org/officeDocument/2006/relationships/hyperlink" Target="https://leetcode.com/problems/set-mismatch/" TargetMode="External"/><Relationship Id="rId98" Type="http://schemas.openxmlformats.org/officeDocument/2006/relationships/hyperlink" Target="https://leetcode.com/problems/maximum-frequency-stack/" TargetMode="External"/><Relationship Id="rId13" Type="http://schemas.openxmlformats.org/officeDocument/2006/relationships/hyperlink" Target="https://leetcode.com/problems/degree-of-an-array/" TargetMode="External"/><Relationship Id="rId12" Type="http://schemas.openxmlformats.org/officeDocument/2006/relationships/hyperlink" Target="https://leetcode.com/problems/longest-harmonious-subsequence/" TargetMode="External"/><Relationship Id="rId91" Type="http://schemas.openxmlformats.org/officeDocument/2006/relationships/hyperlink" Target="https://leetcode.com/problems/car-fleet/" TargetMode="External"/><Relationship Id="rId90" Type="http://schemas.openxmlformats.org/officeDocument/2006/relationships/hyperlink" Target="https://leetcode.com/problems/remove-k-digits/" TargetMode="External"/><Relationship Id="rId93" Type="http://schemas.openxmlformats.org/officeDocument/2006/relationships/hyperlink" Target="https://leetcode.com/problems/exclusive-time-of-functions/" TargetMode="External"/><Relationship Id="rId92" Type="http://schemas.openxmlformats.org/officeDocument/2006/relationships/hyperlink" Target="https://leetcode.com/problems/basic-calculator-ii/" TargetMode="External"/><Relationship Id="rId15" Type="http://schemas.openxmlformats.org/officeDocument/2006/relationships/hyperlink" Target="https://leetcode.com/problems/best-time-to-buy-and-sell-stock/" TargetMode="External"/><Relationship Id="rId14" Type="http://schemas.openxmlformats.org/officeDocument/2006/relationships/hyperlink" Target="https://leetcode.com/problems/can-place-flowers/" TargetMode="External"/><Relationship Id="rId17" Type="http://schemas.openxmlformats.org/officeDocument/2006/relationships/hyperlink" Target="https://leetcode.com/problems/find-pivot-index/" TargetMode="External"/><Relationship Id="rId16" Type="http://schemas.openxmlformats.org/officeDocument/2006/relationships/hyperlink" Target="https://leetcode.com/problems/range-sum-query-immutable/" TargetMode="External"/><Relationship Id="rId19" Type="http://schemas.openxmlformats.org/officeDocument/2006/relationships/hyperlink" Target="https://leetcode.com/problems/subarray-sums-divisible-by-k/" TargetMode="External"/><Relationship Id="rId18" Type="http://schemas.openxmlformats.org/officeDocument/2006/relationships/hyperlink" Target="https://leetcode.com/problems/subarray-sum-equals-k/" TargetMode="External"/><Relationship Id="rId84" Type="http://schemas.openxmlformats.org/officeDocument/2006/relationships/hyperlink" Target="https://leetcode.com/problems/decode-string/" TargetMode="External"/><Relationship Id="rId83" Type="http://schemas.openxmlformats.org/officeDocument/2006/relationships/hyperlink" Target="https://leetcode.com/problems/evaluate-reverse-polish-notation/" TargetMode="External"/><Relationship Id="rId86" Type="http://schemas.openxmlformats.org/officeDocument/2006/relationships/hyperlink" Target="https://leetcode.com/problems/asteroid-collision/" TargetMode="External"/><Relationship Id="rId85" Type="http://schemas.openxmlformats.org/officeDocument/2006/relationships/hyperlink" Target="https://leetcode.com/problems/score-of-parentheses/" TargetMode="External"/><Relationship Id="rId88" Type="http://schemas.openxmlformats.org/officeDocument/2006/relationships/hyperlink" Target="https://leetcode.com/problems/next-greater-element-ii/" TargetMode="External"/><Relationship Id="rId87" Type="http://schemas.openxmlformats.org/officeDocument/2006/relationships/hyperlink" Target="https://leetcode.com/problems/daily-temperatures/" TargetMode="External"/><Relationship Id="rId89" Type="http://schemas.openxmlformats.org/officeDocument/2006/relationships/hyperlink" Target="https://leetcode.com/problems/online-stock-span/" TargetMode="External"/><Relationship Id="rId80" Type="http://schemas.openxmlformats.org/officeDocument/2006/relationships/hyperlink" Target="https://leetcode.com/problems/minimum-add-to-make-parentheses-valid/" TargetMode="External"/><Relationship Id="rId82" Type="http://schemas.openxmlformats.org/officeDocument/2006/relationships/hyperlink" Target="https://leetcode.com/problems/simplify-path/" TargetMode="External"/><Relationship Id="rId81" Type="http://schemas.openxmlformats.org/officeDocument/2006/relationships/hyperlink" Target="https://leetcode.com/problems/validate-stack-sequences/" TargetMode="External"/><Relationship Id="rId1" Type="http://schemas.openxmlformats.org/officeDocument/2006/relationships/hyperlink" Target="https://leetcode.com/problems/contains-duplicate/" TargetMode="External"/><Relationship Id="rId2" Type="http://schemas.openxmlformats.org/officeDocument/2006/relationships/hyperlink" Target="https://leetcode.com/problems/two-sum/" TargetMode="External"/><Relationship Id="rId3" Type="http://schemas.openxmlformats.org/officeDocument/2006/relationships/hyperlink" Target="https://leetcode.com/problems/contains-duplicate-ii/" TargetMode="External"/><Relationship Id="rId4" Type="http://schemas.openxmlformats.org/officeDocument/2006/relationships/hyperlink" Target="https://leetcode.com/problems/valid-anagram/" TargetMode="External"/><Relationship Id="rId9" Type="http://schemas.openxmlformats.org/officeDocument/2006/relationships/hyperlink" Target="https://leetcode.com/problems/find-all-numbers-disappeared-in-an-array/" TargetMode="External"/><Relationship Id="rId5" Type="http://schemas.openxmlformats.org/officeDocument/2006/relationships/hyperlink" Target="https://leetcode.com/problems/majority-element/" TargetMode="External"/><Relationship Id="rId6" Type="http://schemas.openxmlformats.org/officeDocument/2006/relationships/hyperlink" Target="https://leetcode.com/problems/third-maximum-number/" TargetMode="External"/><Relationship Id="rId7" Type="http://schemas.openxmlformats.org/officeDocument/2006/relationships/hyperlink" Target="https://leetcode.com/problems/summary-ranges/" TargetMode="External"/><Relationship Id="rId8" Type="http://schemas.openxmlformats.org/officeDocument/2006/relationships/hyperlink" Target="https://leetcode.com/problems/missing-number/" TargetMode="External"/><Relationship Id="rId73" Type="http://schemas.openxmlformats.org/officeDocument/2006/relationships/hyperlink" Target="https://leetcode.com/problems/baseball-game/" TargetMode="External"/><Relationship Id="rId72" Type="http://schemas.openxmlformats.org/officeDocument/2006/relationships/hyperlink" Target="https://leetcode.com/problems/make-the-string-great/" TargetMode="External"/><Relationship Id="rId75" Type="http://schemas.openxmlformats.org/officeDocument/2006/relationships/hyperlink" Target="https://leetcode.com/problems/implement-stack-using-queues/" TargetMode="External"/><Relationship Id="rId74" Type="http://schemas.openxmlformats.org/officeDocument/2006/relationships/hyperlink" Target="https://leetcode.com/problems/implement-queue-using-stacks/" TargetMode="External"/><Relationship Id="rId77" Type="http://schemas.openxmlformats.org/officeDocument/2006/relationships/hyperlink" Target="https://leetcode.com/problems/min-stack/" TargetMode="External"/><Relationship Id="rId76" Type="http://schemas.openxmlformats.org/officeDocument/2006/relationships/hyperlink" Target="https://leetcode.com/problems/moving-average-from-data-stream/" TargetMode="External"/><Relationship Id="rId79" Type="http://schemas.openxmlformats.org/officeDocument/2006/relationships/hyperlink" Target="https://leetcode.com/problems/removing-stars-from-a-string/" TargetMode="External"/><Relationship Id="rId78" Type="http://schemas.openxmlformats.org/officeDocument/2006/relationships/hyperlink" Target="https://leetcode.com/problems/next-greater-element-i/" TargetMode="External"/><Relationship Id="rId71" Type="http://schemas.openxmlformats.org/officeDocument/2006/relationships/hyperlink" Target="https://leetcode.com/problems/remove-all-adjacent-duplicates-in-string/" TargetMode="External"/><Relationship Id="rId70" Type="http://schemas.openxmlformats.org/officeDocument/2006/relationships/hyperlink" Target="https://leetcode.com/problems/valid-parentheses/" TargetMode="External"/><Relationship Id="rId62" Type="http://schemas.openxmlformats.org/officeDocument/2006/relationships/hyperlink" Target="https://leetcode.com/problems/longest-subarray-of-1s-after-deleting-one-element/" TargetMode="External"/><Relationship Id="rId61" Type="http://schemas.openxmlformats.org/officeDocument/2006/relationships/hyperlink" Target="https://leetcode.com/problems/max-consecutive-ones-iii/" TargetMode="External"/><Relationship Id="rId64" Type="http://schemas.openxmlformats.org/officeDocument/2006/relationships/hyperlink" Target="https://leetcode.com/problems/permutation-in-string/" TargetMode="External"/><Relationship Id="rId63" Type="http://schemas.openxmlformats.org/officeDocument/2006/relationships/hyperlink" Target="https://leetcode.com/problems/longest-repeating-character-replacement/" TargetMode="External"/><Relationship Id="rId66" Type="http://schemas.openxmlformats.org/officeDocument/2006/relationships/hyperlink" Target="https://leetcode.com/problems/count-number-of-nice-subarrays/" TargetMode="External"/><Relationship Id="rId65" Type="http://schemas.openxmlformats.org/officeDocument/2006/relationships/hyperlink" Target="https://leetcode.com/problems/find-all-anagrams-in-a-string/" TargetMode="External"/><Relationship Id="rId68" Type="http://schemas.openxmlformats.org/officeDocument/2006/relationships/hyperlink" Target="https://leetcode.com/problems/sliding-window-maximum/" TargetMode="External"/><Relationship Id="rId67" Type="http://schemas.openxmlformats.org/officeDocument/2006/relationships/hyperlink" Target="https://leetcode.com/problems/minimum-operations-to-reduce-x-to-zero/" TargetMode="External"/><Relationship Id="rId60" Type="http://schemas.openxmlformats.org/officeDocument/2006/relationships/hyperlink" Target="https://leetcode.com/problems/longest-substring-with-at-most-k-distinct-characters/" TargetMode="External"/><Relationship Id="rId69" Type="http://schemas.openxmlformats.org/officeDocument/2006/relationships/hyperlink" Target="https://leetcode.com/problems/minimum-window-substring/" TargetMode="External"/><Relationship Id="rId51" Type="http://schemas.openxmlformats.org/officeDocument/2006/relationships/hyperlink" Target="https://leetcode.com/problems/container-with-most-water/" TargetMode="External"/><Relationship Id="rId50" Type="http://schemas.openxmlformats.org/officeDocument/2006/relationships/hyperlink" Target="https://leetcode.com/problems/4sum/" TargetMode="External"/><Relationship Id="rId53" Type="http://schemas.openxmlformats.org/officeDocument/2006/relationships/hyperlink" Target="https://leetcode.com/problems/maximum-average-subarray-i/" TargetMode="External"/><Relationship Id="rId52" Type="http://schemas.openxmlformats.org/officeDocument/2006/relationships/hyperlink" Target="https://leetcode.com/problems/trapping-rain-water/" TargetMode="External"/><Relationship Id="rId55" Type="http://schemas.openxmlformats.org/officeDocument/2006/relationships/hyperlink" Target="https://leetcode.com/problems/subarray-product-less-than-k/" TargetMode="External"/><Relationship Id="rId54" Type="http://schemas.openxmlformats.org/officeDocument/2006/relationships/hyperlink" Target="https://leetcode.com/problems/minimum-size-subarray-sum/" TargetMode="External"/><Relationship Id="rId57" Type="http://schemas.openxmlformats.org/officeDocument/2006/relationships/hyperlink" Target="https://leetcode.com/problems/maximum-erasure-value/" TargetMode="External"/><Relationship Id="rId56" Type="http://schemas.openxmlformats.org/officeDocument/2006/relationships/hyperlink" Target="https://leetcode.com/problems/longest-substring-without-repeating-characters/" TargetMode="External"/><Relationship Id="rId59" Type="http://schemas.openxmlformats.org/officeDocument/2006/relationships/hyperlink" Target="https://leetcode.com/problems/longest-substring-with-at-most-two-distinct-characters/" TargetMode="External"/><Relationship Id="rId58" Type="http://schemas.openxmlformats.org/officeDocument/2006/relationships/hyperlink" Target="https://leetcode.com/problems/fruit-into-baskets/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explore/learn/card/queue-stack/" TargetMode="External"/><Relationship Id="rId22" Type="http://schemas.openxmlformats.org/officeDocument/2006/relationships/hyperlink" Target="https://cp-algorithms.com/data_structures/stack_queue_modification.html" TargetMode="External"/><Relationship Id="rId21" Type="http://schemas.openxmlformats.org/officeDocument/2006/relationships/hyperlink" Target="https://www.geeksforgeeks.org/introduction-to-monotonic-stack/" TargetMode="External"/><Relationship Id="rId24" Type="http://schemas.openxmlformats.org/officeDocument/2006/relationships/drawing" Target="../drawings/drawing2.xml"/><Relationship Id="rId23" Type="http://schemas.openxmlformats.org/officeDocument/2006/relationships/hyperlink" Target="https://www.youtube.com/c/NeetCode" TargetMode="External"/><Relationship Id="rId11" Type="http://schemas.openxmlformats.org/officeDocument/2006/relationships/hyperlink" Target="https://www.geeksforgeeks.org/largest-sum-contiguous-subarray/" TargetMode="External"/><Relationship Id="rId10" Type="http://schemas.openxmlformats.org/officeDocument/2006/relationships/hyperlink" Target="https://www.geeksforgeeks.org/prefix-sum-array-implementation-applications-competitive-programming/" TargetMode="External"/><Relationship Id="rId13" Type="http://schemas.openxmlformats.org/officeDocument/2006/relationships/hyperlink" Target="https://www.geeksforgeeks.org/next-permutation/" TargetMode="External"/><Relationship Id="rId12" Type="http://schemas.openxmlformats.org/officeDocument/2006/relationships/hyperlink" Target="https://en.wikipedia.org/wiki/Cycle_detection" TargetMode="External"/><Relationship Id="rId15" Type="http://schemas.openxmlformats.org/officeDocument/2006/relationships/hyperlink" Target="https://leetcode.com/explore/learn/card/array-and-string/" TargetMode="External"/><Relationship Id="rId14" Type="http://schemas.openxmlformats.org/officeDocument/2006/relationships/hyperlink" Target="https://www.techinterviewhandbook.org/algorithms/array/" TargetMode="External"/><Relationship Id="rId17" Type="http://schemas.openxmlformats.org/officeDocument/2006/relationships/hyperlink" Target="https://www.geeksforgeeks.org/window-sliding-technique/" TargetMode="External"/><Relationship Id="rId16" Type="http://schemas.openxmlformats.org/officeDocument/2006/relationships/hyperlink" Target="https://www.youtube.com/c/NeetCode" TargetMode="External"/><Relationship Id="rId19" Type="http://schemas.openxmlformats.org/officeDocument/2006/relationships/hyperlink" Target="https://usaco.guide/gold/sliding-window" TargetMode="External"/><Relationship Id="rId18" Type="http://schemas.openxmlformats.org/officeDocument/2006/relationships/hyperlink" Target="https://leetcode.com/discuss/study-guide" TargetMode="External"/><Relationship Id="rId1" Type="http://schemas.openxmlformats.org/officeDocument/2006/relationships/hyperlink" Target="https://neetcode.io/roadmap" TargetMode="External"/><Relationship Id="rId2" Type="http://schemas.openxmlformats.org/officeDocument/2006/relationships/hyperlink" Target="https://www.youtube.com/c/NeetCode" TargetMode="External"/><Relationship Id="rId3" Type="http://schemas.openxmlformats.org/officeDocument/2006/relationships/hyperlink" Target="https://www.techinterviewhandbook.org/algorithms/study-cheatsheet/" TargetMode="External"/><Relationship Id="rId4" Type="http://schemas.openxmlformats.org/officeDocument/2006/relationships/hyperlink" Target="https://visualgo.net/en" TargetMode="External"/><Relationship Id="rId9" Type="http://schemas.openxmlformats.org/officeDocument/2006/relationships/hyperlink" Target="https://usaco.guide/silver/prefix-sums" TargetMode="External"/><Relationship Id="rId5" Type="http://schemas.openxmlformats.org/officeDocument/2006/relationships/hyperlink" Target="https://cp-algorithms.com/" TargetMode="External"/><Relationship Id="rId6" Type="http://schemas.openxmlformats.org/officeDocument/2006/relationships/hyperlink" Target="https://leetcode.com/explore/learn/card/hash-table/" TargetMode="External"/><Relationship Id="rId7" Type="http://schemas.openxmlformats.org/officeDocument/2006/relationships/hyperlink" Target="https://en.wikipedia.org/wiki/Boyer%E2%80%93Moore_majority_vote_algorithm" TargetMode="External"/><Relationship Id="rId8" Type="http://schemas.openxmlformats.org/officeDocument/2006/relationships/hyperlink" Target="https://www.techinterviewhandbook.org/algorithms/arr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86"/>
    <col customWidth="1" min="2" max="2" width="11.86"/>
    <col customWidth="1" min="3" max="3" width="42.0"/>
    <col customWidth="1" min="4" max="4" width="17.0"/>
    <col customWidth="1" min="5" max="5" width="18.0"/>
    <col customWidth="1" min="6" max="6" width="10.0"/>
    <col customWidth="1" min="7" max="7" width="14.43"/>
    <col customWidth="1" min="8" max="8" width="14.57"/>
    <col customWidth="1" min="9" max="9" width="14.86"/>
    <col customWidth="1" min="10" max="10" width="11.14"/>
    <col customWidth="1" min="11" max="11" width="28.0"/>
    <col customWidth="1" min="12" max="12" width="7.0"/>
    <col customWidth="1" min="13" max="13" width="28.0"/>
    <col customWidth="1" min="14" max="14" width="7.0"/>
    <col customWidth="1" min="15" max="15" width="28.0"/>
    <col customWidth="1" min="16" max="16" width="7.0"/>
    <col customWidth="1" min="17" max="17" width="28.0"/>
    <col customWidth="1" min="18" max="18" width="7.0"/>
    <col customWidth="1" min="19" max="26" width="8.71"/>
  </cols>
  <sheetData>
    <row r="1" ht="17.25" customHeight="1">
      <c r="A1" s="1" t="s">
        <v>0</v>
      </c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tr">
        <f>COUNTIF(J5:J111,"✅")&amp;" / "&amp;COUNT(A5:A111)</f>
        <v>39 / 101</v>
      </c>
      <c r="C2" s="3" t="s">
        <v>2</v>
      </c>
      <c r="D2" s="4" t="str">
        <f>COUNTIF(L5:R111,"✅")&amp;" / "&amp;SUM(I5:I111)</f>
        <v>77 / 231</v>
      </c>
      <c r="E2" s="3" t="s">
        <v>3</v>
      </c>
      <c r="F2" s="4" t="str">
        <f>TEXT(COUNTIF(J5:J111,"✅")/COUNT(A5:A111),"0.0%")</f>
        <v>38.6%</v>
      </c>
      <c r="G2" s="3" t="s">
        <v>4</v>
      </c>
      <c r="H2" s="4" t="str">
        <f>COUNTIFS(G5:G111,"⭐ MUST",J5:J111,"✅")&amp;" / 12"</f>
        <v>4 / 12</v>
      </c>
      <c r="I2" s="2"/>
      <c r="J2" s="2"/>
      <c r="K2" s="2"/>
      <c r="L2" s="2"/>
      <c r="M2" s="2"/>
      <c r="N2" s="2"/>
      <c r="O2" s="2"/>
      <c r="P2" s="2"/>
      <c r="Q2" s="2"/>
      <c r="R2" s="2"/>
    </row>
    <row r="3" ht="15.0" customHeight="1">
      <c r="A3" s="5" t="s">
        <v>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ht="15.0" customHeight="1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  <c r="H4" s="6" t="s">
        <v>13</v>
      </c>
      <c r="I4" s="6" t="s">
        <v>14</v>
      </c>
      <c r="J4" s="6" t="s">
        <v>15</v>
      </c>
      <c r="K4" s="6" t="s">
        <v>16</v>
      </c>
      <c r="L4" s="6" t="s">
        <v>17</v>
      </c>
      <c r="M4" s="6" t="s">
        <v>18</v>
      </c>
      <c r="N4" s="6" t="s">
        <v>17</v>
      </c>
      <c r="O4" s="6" t="s">
        <v>19</v>
      </c>
      <c r="P4" s="6" t="s">
        <v>17</v>
      </c>
      <c r="Q4" s="6" t="s">
        <v>20</v>
      </c>
      <c r="R4" s="6" t="s">
        <v>17</v>
      </c>
    </row>
    <row r="5" ht="15.0" customHeight="1">
      <c r="A5" s="7" t="s">
        <v>21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</row>
    <row r="6" ht="15.0" customHeight="1">
      <c r="A6" s="10">
        <v>1.0</v>
      </c>
      <c r="B6" s="10">
        <v>217.0</v>
      </c>
      <c r="C6" s="11" t="s">
        <v>22</v>
      </c>
      <c r="D6" s="12" t="s">
        <v>23</v>
      </c>
      <c r="E6" s="13" t="s">
        <v>24</v>
      </c>
      <c r="F6" s="14" t="s">
        <v>25</v>
      </c>
      <c r="G6" s="10"/>
      <c r="H6" s="13"/>
      <c r="I6" s="10">
        <v>3.0</v>
      </c>
      <c r="J6" s="15" t="s">
        <v>26</v>
      </c>
      <c r="K6" s="16" t="s">
        <v>27</v>
      </c>
      <c r="L6" s="15" t="s">
        <v>26</v>
      </c>
      <c r="M6" s="16" t="s">
        <v>28</v>
      </c>
      <c r="N6" s="15" t="s">
        <v>26</v>
      </c>
      <c r="O6" s="16" t="s">
        <v>29</v>
      </c>
      <c r="P6" s="15" t="s">
        <v>26</v>
      </c>
      <c r="Q6" s="16"/>
      <c r="R6" s="10"/>
    </row>
    <row r="7" ht="15.0" customHeight="1">
      <c r="A7" s="10">
        <v>2.0</v>
      </c>
      <c r="B7" s="10">
        <v>1.0</v>
      </c>
      <c r="C7" s="11" t="s">
        <v>30</v>
      </c>
      <c r="D7" s="12" t="s">
        <v>23</v>
      </c>
      <c r="E7" s="13" t="s">
        <v>24</v>
      </c>
      <c r="F7" s="14" t="s">
        <v>25</v>
      </c>
      <c r="G7" s="17" t="s">
        <v>31</v>
      </c>
      <c r="H7" s="13"/>
      <c r="I7" s="10">
        <v>3.0</v>
      </c>
      <c r="J7" s="15" t="s">
        <v>26</v>
      </c>
      <c r="K7" s="16" t="s">
        <v>32</v>
      </c>
      <c r="L7" s="15" t="s">
        <v>26</v>
      </c>
      <c r="M7" s="16" t="s">
        <v>33</v>
      </c>
      <c r="N7" s="15" t="s">
        <v>26</v>
      </c>
      <c r="O7" s="16" t="s">
        <v>34</v>
      </c>
      <c r="P7" s="15" t="s">
        <v>26</v>
      </c>
      <c r="Q7" s="16"/>
      <c r="R7" s="10"/>
    </row>
    <row r="8" ht="15.0" customHeight="1">
      <c r="A8" s="10">
        <v>3.0</v>
      </c>
      <c r="B8" s="10">
        <v>219.0</v>
      </c>
      <c r="C8" s="11" t="s">
        <v>35</v>
      </c>
      <c r="D8" s="12" t="s">
        <v>23</v>
      </c>
      <c r="E8" s="13" t="s">
        <v>24</v>
      </c>
      <c r="F8" s="14" t="s">
        <v>25</v>
      </c>
      <c r="G8" s="10"/>
      <c r="H8" s="13"/>
      <c r="I8" s="10">
        <v>3.0</v>
      </c>
      <c r="J8" s="15" t="s">
        <v>26</v>
      </c>
      <c r="K8" s="16" t="s">
        <v>32</v>
      </c>
      <c r="L8" s="15" t="s">
        <v>26</v>
      </c>
      <c r="M8" s="16" t="s">
        <v>36</v>
      </c>
      <c r="N8" s="15" t="s">
        <v>26</v>
      </c>
      <c r="O8" s="16" t="s">
        <v>37</v>
      </c>
      <c r="P8" s="15" t="s">
        <v>26</v>
      </c>
      <c r="Q8" s="16"/>
      <c r="R8" s="10"/>
    </row>
    <row r="9" ht="15.0" customHeight="1">
      <c r="A9" s="10">
        <v>4.0</v>
      </c>
      <c r="B9" s="10">
        <v>242.0</v>
      </c>
      <c r="C9" s="11" t="s">
        <v>38</v>
      </c>
      <c r="D9" s="12" t="s">
        <v>23</v>
      </c>
      <c r="E9" s="13" t="s">
        <v>24</v>
      </c>
      <c r="F9" s="14" t="s">
        <v>25</v>
      </c>
      <c r="G9" s="10"/>
      <c r="H9" s="18" t="s">
        <v>39</v>
      </c>
      <c r="I9" s="10">
        <v>2.0</v>
      </c>
      <c r="J9" s="15" t="s">
        <v>26</v>
      </c>
      <c r="K9" s="16" t="s">
        <v>28</v>
      </c>
      <c r="L9" s="15" t="s">
        <v>26</v>
      </c>
      <c r="M9" s="16" t="s">
        <v>40</v>
      </c>
      <c r="N9" s="15" t="s">
        <v>26</v>
      </c>
      <c r="O9" s="16"/>
      <c r="P9" s="10"/>
      <c r="Q9" s="16"/>
      <c r="R9" s="10"/>
    </row>
    <row r="10" ht="15.0" customHeight="1">
      <c r="A10" s="10">
        <v>5.0</v>
      </c>
      <c r="B10" s="10">
        <v>169.0</v>
      </c>
      <c r="C10" s="11" t="s">
        <v>41</v>
      </c>
      <c r="D10" s="12" t="s">
        <v>23</v>
      </c>
      <c r="E10" s="13" t="s">
        <v>24</v>
      </c>
      <c r="F10" s="14" t="s">
        <v>25</v>
      </c>
      <c r="G10" s="10"/>
      <c r="H10" s="13"/>
      <c r="I10" s="10">
        <v>3.0</v>
      </c>
      <c r="J10" s="15" t="s">
        <v>26</v>
      </c>
      <c r="K10" s="16" t="s">
        <v>42</v>
      </c>
      <c r="L10" s="15" t="s">
        <v>26</v>
      </c>
      <c r="M10" s="16" t="s">
        <v>43</v>
      </c>
      <c r="N10" s="15" t="s">
        <v>26</v>
      </c>
      <c r="O10" s="16" t="s">
        <v>44</v>
      </c>
      <c r="P10" s="15" t="s">
        <v>26</v>
      </c>
      <c r="Q10" s="16"/>
      <c r="R10" s="10"/>
    </row>
    <row r="11" ht="15.0" customHeight="1">
      <c r="A11" s="10">
        <v>6.0</v>
      </c>
      <c r="B11" s="10">
        <v>414.0</v>
      </c>
      <c r="C11" s="11" t="s">
        <v>45</v>
      </c>
      <c r="D11" s="12" t="s">
        <v>23</v>
      </c>
      <c r="E11" s="13" t="s">
        <v>24</v>
      </c>
      <c r="F11" s="14" t="s">
        <v>25</v>
      </c>
      <c r="G11" s="19" t="s">
        <v>46</v>
      </c>
      <c r="H11" s="13"/>
      <c r="I11" s="10">
        <v>3.0</v>
      </c>
      <c r="J11" s="15" t="s">
        <v>26</v>
      </c>
      <c r="K11" s="16" t="s">
        <v>47</v>
      </c>
      <c r="L11" s="15" t="s">
        <v>26</v>
      </c>
      <c r="M11" s="16" t="s">
        <v>48</v>
      </c>
      <c r="N11" s="15" t="s">
        <v>26</v>
      </c>
      <c r="O11" s="16" t="s">
        <v>49</v>
      </c>
      <c r="P11" s="15" t="s">
        <v>26</v>
      </c>
      <c r="Q11" s="16"/>
      <c r="R11" s="10"/>
    </row>
    <row r="12" ht="15.0" customHeight="1">
      <c r="A12" s="10">
        <v>7.0</v>
      </c>
      <c r="B12" s="10">
        <v>228.0</v>
      </c>
      <c r="C12" s="11" t="s">
        <v>50</v>
      </c>
      <c r="D12" s="12" t="s">
        <v>23</v>
      </c>
      <c r="E12" s="13" t="s">
        <v>24</v>
      </c>
      <c r="F12" s="14" t="s">
        <v>25</v>
      </c>
      <c r="G12" s="19" t="s">
        <v>46</v>
      </c>
      <c r="H12" s="13"/>
      <c r="I12" s="10">
        <v>2.0</v>
      </c>
      <c r="J12" s="15" t="s">
        <v>26</v>
      </c>
      <c r="K12" s="16" t="s">
        <v>51</v>
      </c>
      <c r="L12" s="15" t="s">
        <v>26</v>
      </c>
      <c r="M12" s="16" t="s">
        <v>52</v>
      </c>
      <c r="N12" s="15" t="s">
        <v>26</v>
      </c>
      <c r="O12" s="16"/>
      <c r="P12" s="10"/>
      <c r="Q12" s="16"/>
      <c r="R12" s="10"/>
    </row>
    <row r="13" ht="15.0" customHeight="1">
      <c r="A13" s="10">
        <v>8.0</v>
      </c>
      <c r="B13" s="10">
        <v>268.0</v>
      </c>
      <c r="C13" s="11" t="s">
        <v>53</v>
      </c>
      <c r="D13" s="12" t="s">
        <v>23</v>
      </c>
      <c r="E13" s="13" t="s">
        <v>24</v>
      </c>
      <c r="F13" s="14" t="s">
        <v>25</v>
      </c>
      <c r="G13" s="10"/>
      <c r="H13" s="18" t="s">
        <v>39</v>
      </c>
      <c r="I13" s="10">
        <v>4.0</v>
      </c>
      <c r="J13" s="15" t="s">
        <v>26</v>
      </c>
      <c r="K13" s="16" t="s">
        <v>28</v>
      </c>
      <c r="L13" s="15" t="s">
        <v>26</v>
      </c>
      <c r="M13" s="16" t="s">
        <v>29</v>
      </c>
      <c r="N13" s="15" t="s">
        <v>26</v>
      </c>
      <c r="O13" s="16" t="s">
        <v>54</v>
      </c>
      <c r="P13" s="15" t="s">
        <v>26</v>
      </c>
      <c r="Q13" s="16" t="s">
        <v>55</v>
      </c>
      <c r="R13" s="15" t="s">
        <v>26</v>
      </c>
    </row>
    <row r="14" ht="15.0" customHeight="1">
      <c r="A14" s="10">
        <v>9.0</v>
      </c>
      <c r="B14" s="10">
        <v>448.0</v>
      </c>
      <c r="C14" s="11" t="s">
        <v>56</v>
      </c>
      <c r="D14" s="12" t="s">
        <v>23</v>
      </c>
      <c r="E14" s="13" t="s">
        <v>24</v>
      </c>
      <c r="F14" s="14" t="s">
        <v>25</v>
      </c>
      <c r="G14" s="10"/>
      <c r="H14" s="13"/>
      <c r="I14" s="10">
        <v>2.0</v>
      </c>
      <c r="J14" s="15" t="s">
        <v>26</v>
      </c>
      <c r="K14" s="16" t="s">
        <v>29</v>
      </c>
      <c r="L14" s="15" t="s">
        <v>26</v>
      </c>
      <c r="M14" s="16" t="s">
        <v>57</v>
      </c>
      <c r="N14" s="10" t="s">
        <v>58</v>
      </c>
      <c r="O14" s="16"/>
      <c r="P14" s="10"/>
      <c r="Q14" s="16"/>
      <c r="R14" s="10"/>
    </row>
    <row r="15" ht="15.0" customHeight="1">
      <c r="A15" s="10">
        <v>10.0</v>
      </c>
      <c r="B15" s="10">
        <v>645.0</v>
      </c>
      <c r="C15" s="11" t="s">
        <v>59</v>
      </c>
      <c r="D15" s="12" t="s">
        <v>23</v>
      </c>
      <c r="E15" s="13" t="s">
        <v>24</v>
      </c>
      <c r="F15" s="14" t="s">
        <v>25</v>
      </c>
      <c r="G15" s="10"/>
      <c r="H15" s="13"/>
      <c r="I15" s="10">
        <v>3.0</v>
      </c>
      <c r="J15" s="15" t="s">
        <v>26</v>
      </c>
      <c r="K15" s="16" t="s">
        <v>42</v>
      </c>
      <c r="L15" s="15" t="s">
        <v>26</v>
      </c>
      <c r="M15" s="16" t="s">
        <v>57</v>
      </c>
      <c r="N15" s="15" t="s">
        <v>26</v>
      </c>
      <c r="O15" s="16" t="s">
        <v>60</v>
      </c>
      <c r="P15" s="10" t="s">
        <v>58</v>
      </c>
      <c r="Q15" s="16"/>
      <c r="R15" s="10"/>
    </row>
    <row r="16" ht="15.0" customHeight="1">
      <c r="A16" s="10">
        <v>11.0</v>
      </c>
      <c r="B16" s="10">
        <v>350.0</v>
      </c>
      <c r="C16" s="11" t="s">
        <v>61</v>
      </c>
      <c r="D16" s="12" t="s">
        <v>23</v>
      </c>
      <c r="E16" s="13" t="s">
        <v>24</v>
      </c>
      <c r="F16" s="14" t="s">
        <v>25</v>
      </c>
      <c r="G16" s="10"/>
      <c r="H16" s="13"/>
      <c r="I16" s="10">
        <v>2.0</v>
      </c>
      <c r="J16" s="15" t="s">
        <v>26</v>
      </c>
      <c r="K16" s="16" t="s">
        <v>42</v>
      </c>
      <c r="L16" s="15" t="s">
        <v>26</v>
      </c>
      <c r="M16" s="16" t="s">
        <v>62</v>
      </c>
      <c r="N16" s="15" t="s">
        <v>26</v>
      </c>
      <c r="O16" s="16"/>
      <c r="P16" s="10"/>
      <c r="Q16" s="16"/>
      <c r="R16" s="10"/>
    </row>
    <row r="17" ht="15.0" customHeight="1">
      <c r="A17" s="10">
        <v>12.0</v>
      </c>
      <c r="B17" s="10">
        <v>594.0</v>
      </c>
      <c r="C17" s="11" t="s">
        <v>63</v>
      </c>
      <c r="D17" s="12" t="s">
        <v>23</v>
      </c>
      <c r="E17" s="13" t="s">
        <v>24</v>
      </c>
      <c r="F17" s="14" t="s">
        <v>25</v>
      </c>
      <c r="G17" s="19" t="s">
        <v>46</v>
      </c>
      <c r="H17" s="13"/>
      <c r="I17" s="10">
        <v>2.0</v>
      </c>
      <c r="J17" s="15" t="s">
        <v>26</v>
      </c>
      <c r="K17" s="16" t="s">
        <v>42</v>
      </c>
      <c r="L17" s="15" t="s">
        <v>26</v>
      </c>
      <c r="M17" s="16" t="s">
        <v>64</v>
      </c>
      <c r="N17" s="10" t="s">
        <v>58</v>
      </c>
      <c r="O17" s="16"/>
      <c r="P17" s="10"/>
      <c r="Q17" s="16"/>
      <c r="R17" s="10"/>
    </row>
    <row r="18" ht="15.0" customHeight="1">
      <c r="A18" s="10">
        <v>13.0</v>
      </c>
      <c r="B18" s="10">
        <v>697.0</v>
      </c>
      <c r="C18" s="11" t="s">
        <v>65</v>
      </c>
      <c r="D18" s="12" t="s">
        <v>23</v>
      </c>
      <c r="E18" s="13" t="s">
        <v>24</v>
      </c>
      <c r="F18" s="14" t="s">
        <v>25</v>
      </c>
      <c r="G18" s="19" t="s">
        <v>46</v>
      </c>
      <c r="H18" s="13"/>
      <c r="I18" s="10">
        <v>2.0</v>
      </c>
      <c r="J18" s="15" t="s">
        <v>26</v>
      </c>
      <c r="K18" s="16" t="s">
        <v>32</v>
      </c>
      <c r="L18" s="15" t="s">
        <v>26</v>
      </c>
      <c r="M18" s="16" t="s">
        <v>66</v>
      </c>
      <c r="N18" s="10" t="s">
        <v>58</v>
      </c>
      <c r="O18" s="16"/>
      <c r="P18" s="10"/>
      <c r="Q18" s="16"/>
      <c r="R18" s="10"/>
    </row>
    <row r="19" ht="15.0" customHeight="1">
      <c r="A19" s="10">
        <v>14.0</v>
      </c>
      <c r="B19" s="10">
        <v>605.0</v>
      </c>
      <c r="C19" s="11" t="s">
        <v>67</v>
      </c>
      <c r="D19" s="12" t="s">
        <v>23</v>
      </c>
      <c r="E19" s="13" t="s">
        <v>24</v>
      </c>
      <c r="F19" s="14" t="s">
        <v>25</v>
      </c>
      <c r="G19" s="10"/>
      <c r="H19" s="13"/>
      <c r="I19" s="10">
        <v>2.0</v>
      </c>
      <c r="J19" s="15" t="s">
        <v>26</v>
      </c>
      <c r="K19" s="16" t="s">
        <v>68</v>
      </c>
      <c r="L19" s="15" t="s">
        <v>26</v>
      </c>
      <c r="M19" s="16" t="s">
        <v>69</v>
      </c>
      <c r="N19" s="10" t="s">
        <v>58</v>
      </c>
      <c r="O19" s="16"/>
      <c r="P19" s="10"/>
      <c r="Q19" s="16"/>
      <c r="R19" s="10"/>
    </row>
    <row r="20" ht="15.0" customHeight="1">
      <c r="A20" s="10">
        <v>15.0</v>
      </c>
      <c r="B20" s="10">
        <v>121.0</v>
      </c>
      <c r="C20" s="11" t="s">
        <v>70</v>
      </c>
      <c r="D20" s="12" t="s">
        <v>23</v>
      </c>
      <c r="E20" s="13" t="s">
        <v>24</v>
      </c>
      <c r="F20" s="14" t="s">
        <v>25</v>
      </c>
      <c r="G20" s="10"/>
      <c r="H20" s="13"/>
      <c r="I20" s="10">
        <v>3.0</v>
      </c>
      <c r="J20" s="15" t="s">
        <v>26</v>
      </c>
      <c r="K20" s="16" t="s">
        <v>32</v>
      </c>
      <c r="L20" s="15" t="s">
        <v>26</v>
      </c>
      <c r="M20" s="16" t="s">
        <v>71</v>
      </c>
      <c r="N20" s="15" t="s">
        <v>26</v>
      </c>
      <c r="O20" s="16" t="s">
        <v>72</v>
      </c>
      <c r="P20" s="10" t="s">
        <v>58</v>
      </c>
      <c r="Q20" s="16"/>
      <c r="R20" s="10"/>
    </row>
    <row r="21" ht="15.0" customHeight="1">
      <c r="A21" s="7" t="s">
        <v>73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9"/>
    </row>
    <row r="22" ht="15.0" customHeight="1">
      <c r="A22" s="10">
        <v>16.0</v>
      </c>
      <c r="B22" s="10">
        <v>303.0</v>
      </c>
      <c r="C22" s="11" t="s">
        <v>74</v>
      </c>
      <c r="D22" s="12" t="s">
        <v>23</v>
      </c>
      <c r="E22" s="13" t="s">
        <v>75</v>
      </c>
      <c r="F22" s="14" t="s">
        <v>25</v>
      </c>
      <c r="G22" s="10"/>
      <c r="H22" s="18" t="s">
        <v>39</v>
      </c>
      <c r="I22" s="10">
        <v>2.0</v>
      </c>
      <c r="J22" s="15" t="s">
        <v>26</v>
      </c>
      <c r="K22" s="16" t="s">
        <v>76</v>
      </c>
      <c r="L22" s="15" t="s">
        <v>26</v>
      </c>
      <c r="M22" s="16" t="s">
        <v>77</v>
      </c>
      <c r="N22" s="15" t="s">
        <v>26</v>
      </c>
      <c r="O22" s="16"/>
      <c r="P22" s="10"/>
      <c r="Q22" s="16"/>
      <c r="R22" s="10"/>
    </row>
    <row r="23" ht="15.0" customHeight="1">
      <c r="A23" s="10">
        <v>17.0</v>
      </c>
      <c r="B23" s="10">
        <v>724.0</v>
      </c>
      <c r="C23" s="11" t="s">
        <v>78</v>
      </c>
      <c r="D23" s="12" t="s">
        <v>23</v>
      </c>
      <c r="E23" s="13" t="s">
        <v>75</v>
      </c>
      <c r="F23" s="14" t="s">
        <v>25</v>
      </c>
      <c r="G23" s="10"/>
      <c r="H23" s="13"/>
      <c r="I23" s="10">
        <v>2.0</v>
      </c>
      <c r="J23" s="15" t="s">
        <v>26</v>
      </c>
      <c r="K23" s="16" t="s">
        <v>77</v>
      </c>
      <c r="L23" s="15" t="s">
        <v>26</v>
      </c>
      <c r="M23" s="16" t="s">
        <v>79</v>
      </c>
      <c r="N23" s="15" t="s">
        <v>26</v>
      </c>
      <c r="O23" s="16"/>
      <c r="P23" s="10"/>
      <c r="Q23" s="16"/>
      <c r="R23" s="10"/>
    </row>
    <row r="24" ht="15.0" customHeight="1">
      <c r="A24" s="10">
        <v>18.0</v>
      </c>
      <c r="B24" s="10">
        <v>560.0</v>
      </c>
      <c r="C24" s="11" t="s">
        <v>80</v>
      </c>
      <c r="D24" s="12" t="s">
        <v>23</v>
      </c>
      <c r="E24" s="13" t="s">
        <v>75</v>
      </c>
      <c r="F24" s="20" t="s">
        <v>81</v>
      </c>
      <c r="G24" s="17" t="s">
        <v>31</v>
      </c>
      <c r="H24" s="13"/>
      <c r="I24" s="10">
        <v>2.0</v>
      </c>
      <c r="J24" s="15" t="s">
        <v>26</v>
      </c>
      <c r="K24" s="16" t="s">
        <v>82</v>
      </c>
      <c r="L24" s="15" t="s">
        <v>26</v>
      </c>
      <c r="M24" s="16" t="s">
        <v>83</v>
      </c>
      <c r="N24" s="15" t="s">
        <v>26</v>
      </c>
      <c r="O24" s="16"/>
      <c r="P24" s="10"/>
      <c r="Q24" s="16"/>
      <c r="R24" s="10"/>
    </row>
    <row r="25" ht="15.0" customHeight="1">
      <c r="A25" s="10">
        <v>19.0</v>
      </c>
      <c r="B25" s="10">
        <v>974.0</v>
      </c>
      <c r="C25" s="11" t="s">
        <v>84</v>
      </c>
      <c r="D25" s="12" t="s">
        <v>23</v>
      </c>
      <c r="E25" s="13" t="s">
        <v>75</v>
      </c>
      <c r="F25" s="20" t="s">
        <v>81</v>
      </c>
      <c r="G25" s="10"/>
      <c r="H25" s="13"/>
      <c r="I25" s="10">
        <v>2.0</v>
      </c>
      <c r="J25" s="15" t="s">
        <v>26</v>
      </c>
      <c r="K25" s="16" t="s">
        <v>32</v>
      </c>
      <c r="L25" s="15" t="s">
        <v>26</v>
      </c>
      <c r="M25" s="16" t="s">
        <v>85</v>
      </c>
      <c r="N25" s="15" t="s">
        <v>26</v>
      </c>
      <c r="O25" s="16"/>
      <c r="P25" s="10"/>
      <c r="Q25" s="16"/>
      <c r="R25" s="10"/>
    </row>
    <row r="26" ht="15.0" customHeight="1">
      <c r="A26" s="10">
        <v>20.0</v>
      </c>
      <c r="B26" s="10">
        <v>523.0</v>
      </c>
      <c r="C26" s="11" t="s">
        <v>86</v>
      </c>
      <c r="D26" s="12" t="s">
        <v>23</v>
      </c>
      <c r="E26" s="13" t="s">
        <v>75</v>
      </c>
      <c r="F26" s="20" t="s">
        <v>81</v>
      </c>
      <c r="G26" s="10"/>
      <c r="H26" s="13"/>
      <c r="I26" s="10">
        <v>2.0</v>
      </c>
      <c r="J26" s="15" t="s">
        <v>26</v>
      </c>
      <c r="K26" s="16" t="s">
        <v>32</v>
      </c>
      <c r="L26" s="15" t="s">
        <v>26</v>
      </c>
      <c r="M26" s="16" t="s">
        <v>85</v>
      </c>
      <c r="N26" s="15" t="s">
        <v>26</v>
      </c>
      <c r="O26" s="16"/>
      <c r="P26" s="10"/>
      <c r="Q26" s="16"/>
      <c r="R26" s="10"/>
    </row>
    <row r="27" ht="15.0" customHeight="1">
      <c r="A27" s="7" t="s">
        <v>87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9"/>
    </row>
    <row r="28" ht="15.0" customHeight="1">
      <c r="A28" s="10">
        <v>21.0</v>
      </c>
      <c r="B28" s="10">
        <v>53.0</v>
      </c>
      <c r="C28" s="11" t="s">
        <v>88</v>
      </c>
      <c r="D28" s="12" t="s">
        <v>89</v>
      </c>
      <c r="E28" s="13" t="s">
        <v>90</v>
      </c>
      <c r="F28" s="20" t="s">
        <v>81</v>
      </c>
      <c r="G28" s="17" t="s">
        <v>31</v>
      </c>
      <c r="H28" s="13"/>
      <c r="I28" s="10">
        <v>3.0</v>
      </c>
      <c r="J28" s="15" t="s">
        <v>26</v>
      </c>
      <c r="K28" s="16" t="s">
        <v>32</v>
      </c>
      <c r="L28" s="15" t="s">
        <v>26</v>
      </c>
      <c r="M28" s="16" t="s">
        <v>91</v>
      </c>
      <c r="N28" s="15" t="s">
        <v>26</v>
      </c>
      <c r="O28" s="16" t="s">
        <v>92</v>
      </c>
      <c r="P28" s="10" t="s">
        <v>58</v>
      </c>
      <c r="Q28" s="16"/>
      <c r="R28" s="10"/>
    </row>
    <row r="29" ht="15.0" customHeight="1">
      <c r="A29" s="10">
        <v>22.0</v>
      </c>
      <c r="B29" s="10">
        <v>918.0</v>
      </c>
      <c r="C29" s="11" t="s">
        <v>93</v>
      </c>
      <c r="D29" s="12" t="s">
        <v>89</v>
      </c>
      <c r="E29" s="13" t="s">
        <v>90</v>
      </c>
      <c r="F29" s="20" t="s">
        <v>81</v>
      </c>
      <c r="G29" s="10"/>
      <c r="H29" s="13"/>
      <c r="I29" s="10">
        <v>2.0</v>
      </c>
      <c r="J29" s="10" t="s">
        <v>58</v>
      </c>
      <c r="K29" s="16" t="s">
        <v>94</v>
      </c>
      <c r="L29" s="10" t="s">
        <v>58</v>
      </c>
      <c r="M29" s="16" t="s">
        <v>95</v>
      </c>
      <c r="N29" s="10" t="s">
        <v>58</v>
      </c>
      <c r="O29" s="16"/>
      <c r="P29" s="10"/>
      <c r="Q29" s="16"/>
      <c r="R29" s="10"/>
    </row>
    <row r="30" ht="15.0" customHeight="1">
      <c r="A30" s="10">
        <v>23.0</v>
      </c>
      <c r="B30" s="10">
        <v>122.0</v>
      </c>
      <c r="C30" s="11" t="s">
        <v>96</v>
      </c>
      <c r="D30" s="12" t="s">
        <v>89</v>
      </c>
      <c r="E30" s="13" t="s">
        <v>90</v>
      </c>
      <c r="F30" s="20" t="s">
        <v>81</v>
      </c>
      <c r="G30" s="10"/>
      <c r="H30" s="13"/>
      <c r="I30" s="10">
        <v>2.0</v>
      </c>
      <c r="J30" s="15" t="s">
        <v>26</v>
      </c>
      <c r="K30" s="16" t="s">
        <v>97</v>
      </c>
      <c r="L30" s="15" t="s">
        <v>26</v>
      </c>
      <c r="M30" s="16" t="s">
        <v>98</v>
      </c>
      <c r="N30" s="10" t="s">
        <v>58</v>
      </c>
      <c r="O30" s="16"/>
      <c r="P30" s="10"/>
      <c r="Q30" s="16"/>
      <c r="R30" s="10"/>
    </row>
    <row r="31" ht="15.0" customHeight="1">
      <c r="A31" s="10">
        <v>24.0</v>
      </c>
      <c r="B31" s="10">
        <v>189.0</v>
      </c>
      <c r="C31" s="11" t="s">
        <v>99</v>
      </c>
      <c r="D31" s="12" t="s">
        <v>89</v>
      </c>
      <c r="E31" s="13" t="s">
        <v>90</v>
      </c>
      <c r="F31" s="20" t="s">
        <v>81</v>
      </c>
      <c r="G31" s="10"/>
      <c r="H31" s="13"/>
      <c r="I31" s="10">
        <v>3.0</v>
      </c>
      <c r="J31" s="15" t="s">
        <v>26</v>
      </c>
      <c r="K31" s="16" t="s">
        <v>100</v>
      </c>
      <c r="L31" s="15" t="s">
        <v>26</v>
      </c>
      <c r="M31" s="16" t="s">
        <v>101</v>
      </c>
      <c r="N31" s="15" t="s">
        <v>26</v>
      </c>
      <c r="O31" s="16" t="s">
        <v>102</v>
      </c>
      <c r="P31" s="15" t="s">
        <v>26</v>
      </c>
      <c r="Q31" s="16"/>
      <c r="R31" s="10"/>
    </row>
    <row r="32" ht="15.0" customHeight="1">
      <c r="A32" s="10">
        <v>25.0</v>
      </c>
      <c r="B32" s="10">
        <v>238.0</v>
      </c>
      <c r="C32" s="11" t="s">
        <v>103</v>
      </c>
      <c r="D32" s="12" t="s">
        <v>89</v>
      </c>
      <c r="E32" s="13" t="s">
        <v>90</v>
      </c>
      <c r="F32" s="20" t="s">
        <v>81</v>
      </c>
      <c r="G32" s="10"/>
      <c r="H32" s="13"/>
      <c r="I32" s="10">
        <v>3.0</v>
      </c>
      <c r="J32" s="15" t="s">
        <v>26</v>
      </c>
      <c r="K32" s="16" t="s">
        <v>104</v>
      </c>
      <c r="L32" s="15" t="s">
        <v>26</v>
      </c>
      <c r="M32" s="16" t="s">
        <v>105</v>
      </c>
      <c r="N32" s="15" t="s">
        <v>26</v>
      </c>
      <c r="O32" s="16" t="s">
        <v>106</v>
      </c>
      <c r="P32" s="15" t="s">
        <v>26</v>
      </c>
      <c r="Q32" s="16"/>
      <c r="R32" s="10"/>
    </row>
    <row r="33" ht="15.0" customHeight="1">
      <c r="A33" s="10">
        <v>26.0</v>
      </c>
      <c r="B33" s="10">
        <v>280.0</v>
      </c>
      <c r="C33" s="11" t="s">
        <v>107</v>
      </c>
      <c r="D33" s="12" t="s">
        <v>89</v>
      </c>
      <c r="E33" s="13" t="s">
        <v>90</v>
      </c>
      <c r="F33" s="20" t="s">
        <v>81</v>
      </c>
      <c r="G33" s="19" t="s">
        <v>46</v>
      </c>
      <c r="H33" s="13"/>
      <c r="I33" s="10">
        <v>2.0</v>
      </c>
      <c r="J33" s="15" t="s">
        <v>26</v>
      </c>
      <c r="K33" s="16" t="s">
        <v>108</v>
      </c>
      <c r="L33" s="15" t="s">
        <v>58</v>
      </c>
      <c r="M33" s="16" t="s">
        <v>109</v>
      </c>
      <c r="N33" s="15" t="s">
        <v>26</v>
      </c>
      <c r="O33" s="16"/>
      <c r="P33" s="10"/>
      <c r="Q33" s="16"/>
      <c r="R33" s="10"/>
    </row>
    <row r="34" ht="15.0" customHeight="1">
      <c r="A34" s="10">
        <v>27.0</v>
      </c>
      <c r="B34" s="10">
        <v>274.0</v>
      </c>
      <c r="C34" s="11" t="s">
        <v>110</v>
      </c>
      <c r="D34" s="12" t="s">
        <v>89</v>
      </c>
      <c r="E34" s="13" t="s">
        <v>90</v>
      </c>
      <c r="F34" s="20" t="s">
        <v>81</v>
      </c>
      <c r="G34" s="10"/>
      <c r="H34" s="13"/>
      <c r="I34" s="10">
        <v>3.0</v>
      </c>
      <c r="J34" s="15" t="s">
        <v>26</v>
      </c>
      <c r="K34" s="16" t="s">
        <v>111</v>
      </c>
      <c r="L34" s="15" t="s">
        <v>26</v>
      </c>
      <c r="M34" s="16" t="s">
        <v>112</v>
      </c>
      <c r="N34" s="10" t="s">
        <v>58</v>
      </c>
      <c r="O34" s="16" t="s">
        <v>113</v>
      </c>
      <c r="P34" s="10" t="s">
        <v>58</v>
      </c>
      <c r="Q34" s="16"/>
      <c r="R34" s="10"/>
    </row>
    <row r="35" ht="15.0" customHeight="1">
      <c r="A35" s="10">
        <v>28.0</v>
      </c>
      <c r="B35" s="10">
        <v>229.0</v>
      </c>
      <c r="C35" s="11" t="s">
        <v>114</v>
      </c>
      <c r="D35" s="12" t="s">
        <v>89</v>
      </c>
      <c r="E35" s="13" t="s">
        <v>90</v>
      </c>
      <c r="F35" s="20" t="s">
        <v>81</v>
      </c>
      <c r="G35" s="10"/>
      <c r="H35" s="13"/>
      <c r="I35" s="10">
        <v>2.0</v>
      </c>
      <c r="J35" s="15" t="s">
        <v>26</v>
      </c>
      <c r="K35" s="16" t="s">
        <v>42</v>
      </c>
      <c r="L35" s="15" t="s">
        <v>26</v>
      </c>
      <c r="M35" s="16" t="s">
        <v>115</v>
      </c>
      <c r="N35" s="15" t="s">
        <v>26</v>
      </c>
      <c r="O35" s="16"/>
      <c r="P35" s="10"/>
      <c r="Q35" s="16"/>
      <c r="R35" s="10"/>
    </row>
    <row r="36" ht="15.0" customHeight="1">
      <c r="A36" s="10">
        <v>29.0</v>
      </c>
      <c r="B36" s="10">
        <v>49.0</v>
      </c>
      <c r="C36" s="11" t="s">
        <v>116</v>
      </c>
      <c r="D36" s="12" t="s">
        <v>89</v>
      </c>
      <c r="E36" s="13" t="s">
        <v>90</v>
      </c>
      <c r="F36" s="20" t="s">
        <v>81</v>
      </c>
      <c r="G36" s="10"/>
      <c r="H36" s="13"/>
      <c r="I36" s="10">
        <v>2.0</v>
      </c>
      <c r="J36" s="15" t="s">
        <v>26</v>
      </c>
      <c r="K36" s="16" t="s">
        <v>117</v>
      </c>
      <c r="L36" s="15" t="s">
        <v>26</v>
      </c>
      <c r="M36" s="16" t="s">
        <v>118</v>
      </c>
      <c r="N36" s="15" t="s">
        <v>26</v>
      </c>
      <c r="O36" s="16"/>
      <c r="P36" s="10"/>
      <c r="Q36" s="16"/>
      <c r="R36" s="10"/>
    </row>
    <row r="37" ht="23.25" customHeight="1">
      <c r="A37" s="10">
        <v>30.0</v>
      </c>
      <c r="B37" s="10">
        <v>454.0</v>
      </c>
      <c r="C37" s="11" t="s">
        <v>119</v>
      </c>
      <c r="D37" s="12" t="s">
        <v>89</v>
      </c>
      <c r="E37" s="13" t="s">
        <v>90</v>
      </c>
      <c r="F37" s="20" t="s">
        <v>81</v>
      </c>
      <c r="G37" s="10"/>
      <c r="H37" s="13"/>
      <c r="I37" s="10">
        <v>2.0</v>
      </c>
      <c r="J37" s="10" t="s">
        <v>58</v>
      </c>
      <c r="K37" s="16" t="s">
        <v>32</v>
      </c>
      <c r="L37" s="10" t="s">
        <v>58</v>
      </c>
      <c r="M37" s="16" t="s">
        <v>120</v>
      </c>
      <c r="N37" s="10" t="s">
        <v>58</v>
      </c>
      <c r="O37" s="16"/>
      <c r="P37" s="10"/>
      <c r="Q37" s="16"/>
      <c r="R37" s="10"/>
    </row>
    <row r="38" ht="15.0" customHeight="1">
      <c r="A38" s="10">
        <v>31.0</v>
      </c>
      <c r="B38" s="10">
        <v>128.0</v>
      </c>
      <c r="C38" s="11" t="s">
        <v>121</v>
      </c>
      <c r="D38" s="12" t="s">
        <v>89</v>
      </c>
      <c r="E38" s="13" t="s">
        <v>90</v>
      </c>
      <c r="F38" s="20" t="s">
        <v>81</v>
      </c>
      <c r="G38" s="10"/>
      <c r="H38" s="13"/>
      <c r="I38" s="10">
        <v>3.0</v>
      </c>
      <c r="J38" s="15" t="s">
        <v>26</v>
      </c>
      <c r="K38" s="16" t="s">
        <v>28</v>
      </c>
      <c r="L38" s="15" t="s">
        <v>26</v>
      </c>
      <c r="M38" s="16" t="s">
        <v>122</v>
      </c>
      <c r="N38" s="15" t="s">
        <v>26</v>
      </c>
      <c r="O38" s="16" t="s">
        <v>123</v>
      </c>
      <c r="P38" s="10" t="s">
        <v>58</v>
      </c>
      <c r="Q38" s="16"/>
      <c r="R38" s="10"/>
    </row>
    <row r="39" ht="15.0" customHeight="1">
      <c r="A39" s="10">
        <v>32.0</v>
      </c>
      <c r="B39" s="10">
        <v>845.0</v>
      </c>
      <c r="C39" s="11" t="s">
        <v>124</v>
      </c>
      <c r="D39" s="12" t="s">
        <v>89</v>
      </c>
      <c r="E39" s="13" t="s">
        <v>90</v>
      </c>
      <c r="F39" s="20" t="s">
        <v>81</v>
      </c>
      <c r="G39" s="10"/>
      <c r="H39" s="13"/>
      <c r="I39" s="10">
        <v>2.0</v>
      </c>
      <c r="J39" s="15" t="s">
        <v>26</v>
      </c>
      <c r="K39" s="16" t="s">
        <v>125</v>
      </c>
      <c r="L39" s="15" t="s">
        <v>26</v>
      </c>
      <c r="M39" s="16" t="s">
        <v>126</v>
      </c>
      <c r="N39" s="10" t="s">
        <v>58</v>
      </c>
      <c r="O39" s="16"/>
      <c r="P39" s="10"/>
      <c r="Q39" s="16"/>
      <c r="R39" s="10"/>
    </row>
    <row r="40" ht="23.25" customHeight="1">
      <c r="A40" s="10">
        <v>33.0</v>
      </c>
      <c r="B40" s="10">
        <v>581.0</v>
      </c>
      <c r="C40" s="11" t="s">
        <v>127</v>
      </c>
      <c r="D40" s="12" t="s">
        <v>89</v>
      </c>
      <c r="E40" s="13" t="s">
        <v>90</v>
      </c>
      <c r="F40" s="20" t="s">
        <v>81</v>
      </c>
      <c r="G40" s="10"/>
      <c r="H40" s="13"/>
      <c r="I40" s="10">
        <v>3.0</v>
      </c>
      <c r="J40" s="15" t="s">
        <v>26</v>
      </c>
      <c r="K40" s="16" t="s">
        <v>128</v>
      </c>
      <c r="L40" s="15" t="s">
        <v>26</v>
      </c>
      <c r="M40" s="16" t="s">
        <v>129</v>
      </c>
      <c r="N40" s="10" t="s">
        <v>58</v>
      </c>
      <c r="O40" s="16" t="s">
        <v>130</v>
      </c>
      <c r="P40" s="10" t="s">
        <v>58</v>
      </c>
      <c r="Q40" s="16"/>
      <c r="R40" s="10"/>
    </row>
    <row r="41" ht="15.0" customHeight="1">
      <c r="A41" s="10">
        <v>34.0</v>
      </c>
      <c r="B41" s="10">
        <v>287.0</v>
      </c>
      <c r="C41" s="11" t="s">
        <v>131</v>
      </c>
      <c r="D41" s="12" t="s">
        <v>89</v>
      </c>
      <c r="E41" s="13" t="s">
        <v>90</v>
      </c>
      <c r="F41" s="20" t="s">
        <v>81</v>
      </c>
      <c r="G41" s="17" t="s">
        <v>31</v>
      </c>
      <c r="H41" s="13"/>
      <c r="I41" s="10">
        <v>4.0</v>
      </c>
      <c r="J41" s="15" t="s">
        <v>26</v>
      </c>
      <c r="K41" s="16" t="s">
        <v>28</v>
      </c>
      <c r="L41" s="15" t="s">
        <v>26</v>
      </c>
      <c r="M41" s="16" t="s">
        <v>29</v>
      </c>
      <c r="N41" s="15" t="s">
        <v>26</v>
      </c>
      <c r="O41" s="16" t="s">
        <v>132</v>
      </c>
      <c r="P41" s="15" t="s">
        <v>26</v>
      </c>
      <c r="Q41" s="16" t="s">
        <v>133</v>
      </c>
      <c r="R41" s="15" t="s">
        <v>26</v>
      </c>
    </row>
    <row r="42" ht="15.0" customHeight="1">
      <c r="A42" s="10">
        <v>35.0</v>
      </c>
      <c r="B42" s="10">
        <v>31.0</v>
      </c>
      <c r="C42" s="11" t="s">
        <v>134</v>
      </c>
      <c r="D42" s="12" t="s">
        <v>89</v>
      </c>
      <c r="E42" s="13" t="s">
        <v>90</v>
      </c>
      <c r="F42" s="20" t="s">
        <v>81</v>
      </c>
      <c r="G42" s="10"/>
      <c r="H42" s="13"/>
      <c r="I42" s="10">
        <v>1.0</v>
      </c>
      <c r="J42" s="15" t="s">
        <v>26</v>
      </c>
      <c r="K42" s="16" t="s">
        <v>135</v>
      </c>
      <c r="L42" s="10" t="s">
        <v>58</v>
      </c>
      <c r="M42" s="16"/>
      <c r="N42" s="10"/>
      <c r="O42" s="16"/>
      <c r="P42" s="10"/>
      <c r="Q42" s="16"/>
      <c r="R42" s="10"/>
    </row>
    <row r="43" ht="15.0" customHeight="1">
      <c r="A43" s="10">
        <v>36.0</v>
      </c>
      <c r="B43" s="10">
        <v>41.0</v>
      </c>
      <c r="C43" s="11" t="s">
        <v>136</v>
      </c>
      <c r="D43" s="12" t="s">
        <v>89</v>
      </c>
      <c r="E43" s="13" t="s">
        <v>90</v>
      </c>
      <c r="F43" s="21" t="s">
        <v>137</v>
      </c>
      <c r="G43" s="10"/>
      <c r="H43" s="13"/>
      <c r="I43" s="10">
        <v>3.0</v>
      </c>
      <c r="J43" s="15" t="s">
        <v>26</v>
      </c>
      <c r="K43" s="16" t="s">
        <v>138</v>
      </c>
      <c r="L43" s="15" t="s">
        <v>26</v>
      </c>
      <c r="M43" s="16" t="s">
        <v>139</v>
      </c>
      <c r="N43" s="15" t="s">
        <v>26</v>
      </c>
      <c r="O43" s="16" t="s">
        <v>140</v>
      </c>
      <c r="P43" s="15" t="s">
        <v>26</v>
      </c>
      <c r="Q43" s="16"/>
      <c r="R43" s="10"/>
    </row>
    <row r="44" ht="15.0" customHeight="1">
      <c r="A44" s="7" t="s">
        <v>141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9"/>
    </row>
    <row r="45" ht="15.0" customHeight="1">
      <c r="A45" s="10">
        <v>37.0</v>
      </c>
      <c r="B45" s="10">
        <v>125.0</v>
      </c>
      <c r="C45" s="11" t="s">
        <v>142</v>
      </c>
      <c r="D45" s="12" t="s">
        <v>143</v>
      </c>
      <c r="E45" s="13" t="s">
        <v>144</v>
      </c>
      <c r="F45" s="14" t="s">
        <v>25</v>
      </c>
      <c r="G45" s="10"/>
      <c r="H45" s="13"/>
      <c r="I45" s="10">
        <v>2.0</v>
      </c>
      <c r="J45" s="15" t="s">
        <v>26</v>
      </c>
      <c r="K45" s="16" t="s">
        <v>145</v>
      </c>
      <c r="L45" s="15" t="s">
        <v>26</v>
      </c>
      <c r="M45" s="16" t="s">
        <v>52</v>
      </c>
      <c r="N45" s="15" t="s">
        <v>26</v>
      </c>
      <c r="O45" s="16"/>
      <c r="P45" s="10"/>
      <c r="Q45" s="16"/>
      <c r="R45" s="10"/>
    </row>
    <row r="46" ht="15.0" customHeight="1">
      <c r="A46" s="10">
        <v>38.0</v>
      </c>
      <c r="B46" s="10">
        <v>977.0</v>
      </c>
      <c r="C46" s="11" t="s">
        <v>146</v>
      </c>
      <c r="D46" s="12" t="s">
        <v>143</v>
      </c>
      <c r="E46" s="13" t="s">
        <v>144</v>
      </c>
      <c r="F46" s="14" t="s">
        <v>25</v>
      </c>
      <c r="G46" s="10"/>
      <c r="H46" s="13"/>
      <c r="I46" s="10">
        <v>2.0</v>
      </c>
      <c r="J46" s="15" t="s">
        <v>26</v>
      </c>
      <c r="K46" s="16" t="s">
        <v>147</v>
      </c>
      <c r="L46" s="15" t="s">
        <v>26</v>
      </c>
      <c r="M46" s="16" t="s">
        <v>148</v>
      </c>
      <c r="N46" s="15" t="s">
        <v>26</v>
      </c>
      <c r="O46" s="16"/>
      <c r="P46" s="10"/>
      <c r="Q46" s="16"/>
      <c r="R46" s="10"/>
    </row>
    <row r="47" ht="15.0" customHeight="1">
      <c r="A47" s="10">
        <v>39.0</v>
      </c>
      <c r="B47" s="10">
        <v>283.0</v>
      </c>
      <c r="C47" s="11" t="s">
        <v>149</v>
      </c>
      <c r="D47" s="12" t="s">
        <v>143</v>
      </c>
      <c r="E47" s="13" t="s">
        <v>144</v>
      </c>
      <c r="F47" s="14" t="s">
        <v>25</v>
      </c>
      <c r="G47" s="10"/>
      <c r="H47" s="13"/>
      <c r="I47" s="10">
        <v>2.0</v>
      </c>
      <c r="J47" s="15" t="s">
        <v>26</v>
      </c>
      <c r="K47" s="16" t="s">
        <v>150</v>
      </c>
      <c r="L47" s="15" t="s">
        <v>26</v>
      </c>
      <c r="M47" s="16" t="s">
        <v>151</v>
      </c>
      <c r="N47" s="15" t="s">
        <v>26</v>
      </c>
      <c r="O47" s="16"/>
      <c r="P47" s="10"/>
      <c r="Q47" s="16"/>
      <c r="R47" s="10"/>
    </row>
    <row r="48" ht="15.0" customHeight="1">
      <c r="A48" s="10">
        <v>40.0</v>
      </c>
      <c r="B48" s="10">
        <v>26.0</v>
      </c>
      <c r="C48" s="11" t="s">
        <v>152</v>
      </c>
      <c r="D48" s="12" t="s">
        <v>143</v>
      </c>
      <c r="E48" s="13" t="s">
        <v>144</v>
      </c>
      <c r="F48" s="14" t="s">
        <v>25</v>
      </c>
      <c r="G48" s="10"/>
      <c r="H48" s="13"/>
      <c r="I48" s="10">
        <v>1.0</v>
      </c>
      <c r="J48" s="15" t="s">
        <v>26</v>
      </c>
      <c r="K48" s="16" t="s">
        <v>153</v>
      </c>
      <c r="L48" s="15" t="s">
        <v>26</v>
      </c>
      <c r="M48" s="16"/>
      <c r="N48" s="10"/>
      <c r="O48" s="16"/>
      <c r="P48" s="10"/>
      <c r="Q48" s="16"/>
      <c r="R48" s="10"/>
    </row>
    <row r="49" ht="15.0" customHeight="1">
      <c r="A49" s="10">
        <v>41.0</v>
      </c>
      <c r="B49" s="10">
        <v>27.0</v>
      </c>
      <c r="C49" s="11" t="s">
        <v>154</v>
      </c>
      <c r="D49" s="12" t="s">
        <v>143</v>
      </c>
      <c r="E49" s="13" t="s">
        <v>144</v>
      </c>
      <c r="F49" s="14" t="s">
        <v>25</v>
      </c>
      <c r="G49" s="10"/>
      <c r="H49" s="18" t="s">
        <v>39</v>
      </c>
      <c r="I49" s="10">
        <v>2.0</v>
      </c>
      <c r="J49" s="15" t="s">
        <v>26</v>
      </c>
      <c r="K49" s="16" t="s">
        <v>155</v>
      </c>
      <c r="L49" s="15" t="s">
        <v>26</v>
      </c>
      <c r="M49" s="16" t="s">
        <v>156</v>
      </c>
      <c r="N49" s="10" t="s">
        <v>58</v>
      </c>
      <c r="O49" s="16"/>
      <c r="P49" s="10"/>
      <c r="Q49" s="16"/>
      <c r="R49" s="10"/>
    </row>
    <row r="50" ht="15.0" customHeight="1">
      <c r="A50" s="10">
        <v>42.0</v>
      </c>
      <c r="B50" s="10">
        <v>88.0</v>
      </c>
      <c r="C50" s="11" t="s">
        <v>157</v>
      </c>
      <c r="D50" s="12" t="s">
        <v>143</v>
      </c>
      <c r="E50" s="13" t="s">
        <v>144</v>
      </c>
      <c r="F50" s="14" t="s">
        <v>25</v>
      </c>
      <c r="G50" s="10"/>
      <c r="H50" s="13"/>
      <c r="I50" s="10">
        <v>3.0</v>
      </c>
      <c r="J50" s="10" t="s">
        <v>58</v>
      </c>
      <c r="K50" s="16" t="s">
        <v>158</v>
      </c>
      <c r="L50" s="10" t="s">
        <v>58</v>
      </c>
      <c r="M50" s="16" t="s">
        <v>159</v>
      </c>
      <c r="N50" s="10" t="s">
        <v>58</v>
      </c>
      <c r="O50" s="16" t="s">
        <v>160</v>
      </c>
      <c r="P50" s="10" t="s">
        <v>58</v>
      </c>
      <c r="Q50" s="16"/>
      <c r="R50" s="10"/>
    </row>
    <row r="51" ht="23.25" customHeight="1">
      <c r="A51" s="10">
        <v>43.0</v>
      </c>
      <c r="B51" s="10">
        <v>392.0</v>
      </c>
      <c r="C51" s="11" t="s">
        <v>161</v>
      </c>
      <c r="D51" s="12" t="s">
        <v>143</v>
      </c>
      <c r="E51" s="13" t="s">
        <v>144</v>
      </c>
      <c r="F51" s="14" t="s">
        <v>25</v>
      </c>
      <c r="G51" s="10"/>
      <c r="H51" s="13"/>
      <c r="I51" s="10">
        <v>2.0</v>
      </c>
      <c r="J51" s="10" t="s">
        <v>58</v>
      </c>
      <c r="K51" s="16" t="s">
        <v>52</v>
      </c>
      <c r="L51" s="10" t="s">
        <v>58</v>
      </c>
      <c r="M51" s="16" t="s">
        <v>162</v>
      </c>
      <c r="N51" s="10" t="s">
        <v>58</v>
      </c>
      <c r="O51" s="16"/>
      <c r="P51" s="10"/>
      <c r="Q51" s="16"/>
      <c r="R51" s="10"/>
    </row>
    <row r="52" ht="23.25" customHeight="1">
      <c r="A52" s="10">
        <v>44.0</v>
      </c>
      <c r="B52" s="10">
        <v>844.0</v>
      </c>
      <c r="C52" s="11" t="s">
        <v>163</v>
      </c>
      <c r="D52" s="12" t="s">
        <v>143</v>
      </c>
      <c r="E52" s="13" t="s">
        <v>144</v>
      </c>
      <c r="F52" s="14" t="s">
        <v>25</v>
      </c>
      <c r="G52" s="10"/>
      <c r="H52" s="13"/>
      <c r="I52" s="10">
        <v>2.0</v>
      </c>
      <c r="J52" s="10" t="s">
        <v>58</v>
      </c>
      <c r="K52" s="16" t="s">
        <v>164</v>
      </c>
      <c r="L52" s="10" t="s">
        <v>58</v>
      </c>
      <c r="M52" s="16" t="s">
        <v>165</v>
      </c>
      <c r="N52" s="10" t="s">
        <v>58</v>
      </c>
      <c r="O52" s="16"/>
      <c r="P52" s="10"/>
      <c r="Q52" s="16"/>
      <c r="R52" s="10"/>
    </row>
    <row r="53" ht="15.0" customHeight="1">
      <c r="A53" s="10">
        <v>45.0</v>
      </c>
      <c r="B53" s="10">
        <v>876.0</v>
      </c>
      <c r="C53" s="11" t="s">
        <v>166</v>
      </c>
      <c r="D53" s="12" t="s">
        <v>143</v>
      </c>
      <c r="E53" s="13" t="s">
        <v>144</v>
      </c>
      <c r="F53" s="14" t="s">
        <v>25</v>
      </c>
      <c r="G53" s="10"/>
      <c r="H53" s="18" t="s">
        <v>39</v>
      </c>
      <c r="I53" s="10">
        <v>2.0</v>
      </c>
      <c r="J53" s="10" t="s">
        <v>58</v>
      </c>
      <c r="K53" s="16" t="s">
        <v>167</v>
      </c>
      <c r="L53" s="10" t="s">
        <v>58</v>
      </c>
      <c r="M53" s="16" t="s">
        <v>168</v>
      </c>
      <c r="N53" s="10" t="s">
        <v>58</v>
      </c>
      <c r="O53" s="16"/>
      <c r="P53" s="10"/>
      <c r="Q53" s="16"/>
      <c r="R53" s="10"/>
    </row>
    <row r="54" ht="15.0" customHeight="1">
      <c r="A54" s="10">
        <v>46.0</v>
      </c>
      <c r="B54" s="10">
        <v>141.0</v>
      </c>
      <c r="C54" s="11" t="s">
        <v>169</v>
      </c>
      <c r="D54" s="12" t="s">
        <v>143</v>
      </c>
      <c r="E54" s="13" t="s">
        <v>144</v>
      </c>
      <c r="F54" s="14" t="s">
        <v>25</v>
      </c>
      <c r="G54" s="10"/>
      <c r="H54" s="13"/>
      <c r="I54" s="10">
        <v>2.0</v>
      </c>
      <c r="J54" s="10" t="s">
        <v>58</v>
      </c>
      <c r="K54" s="16" t="s">
        <v>170</v>
      </c>
      <c r="L54" s="10" t="s">
        <v>58</v>
      </c>
      <c r="M54" s="16" t="s">
        <v>171</v>
      </c>
      <c r="N54" s="10" t="s">
        <v>58</v>
      </c>
      <c r="O54" s="16"/>
      <c r="P54" s="10"/>
      <c r="Q54" s="16"/>
      <c r="R54" s="10"/>
    </row>
    <row r="55" ht="15.0" customHeight="1">
      <c r="A55" s="10">
        <v>47.0</v>
      </c>
      <c r="B55" s="10">
        <v>167.0</v>
      </c>
      <c r="C55" s="11" t="s">
        <v>172</v>
      </c>
      <c r="D55" s="12" t="s">
        <v>143</v>
      </c>
      <c r="E55" s="13" t="s">
        <v>144</v>
      </c>
      <c r="F55" s="20" t="s">
        <v>81</v>
      </c>
      <c r="G55" s="10"/>
      <c r="H55" s="13"/>
      <c r="I55" s="10">
        <v>2.0</v>
      </c>
      <c r="J55" s="10" t="s">
        <v>58</v>
      </c>
      <c r="K55" s="16" t="s">
        <v>173</v>
      </c>
      <c r="L55" s="10" t="s">
        <v>58</v>
      </c>
      <c r="M55" s="16" t="s">
        <v>52</v>
      </c>
      <c r="N55" s="10" t="s">
        <v>58</v>
      </c>
      <c r="O55" s="16"/>
      <c r="P55" s="10"/>
      <c r="Q55" s="16"/>
      <c r="R55" s="10"/>
    </row>
    <row r="56" ht="15.0" customHeight="1">
      <c r="A56" s="10">
        <v>48.0</v>
      </c>
      <c r="B56" s="10">
        <v>15.0</v>
      </c>
      <c r="C56" s="11" t="s">
        <v>174</v>
      </c>
      <c r="D56" s="12" t="s">
        <v>143</v>
      </c>
      <c r="E56" s="13" t="s">
        <v>144</v>
      </c>
      <c r="F56" s="20" t="s">
        <v>81</v>
      </c>
      <c r="G56" s="17" t="s">
        <v>31</v>
      </c>
      <c r="H56" s="13"/>
      <c r="I56" s="10">
        <v>3.0</v>
      </c>
      <c r="J56" s="10" t="s">
        <v>58</v>
      </c>
      <c r="K56" s="16" t="s">
        <v>32</v>
      </c>
      <c r="L56" s="10" t="s">
        <v>58</v>
      </c>
      <c r="M56" s="16" t="s">
        <v>62</v>
      </c>
      <c r="N56" s="10" t="s">
        <v>58</v>
      </c>
      <c r="O56" s="16" t="s">
        <v>175</v>
      </c>
      <c r="P56" s="10" t="s">
        <v>58</v>
      </c>
      <c r="Q56" s="16"/>
      <c r="R56" s="10"/>
    </row>
    <row r="57" ht="15.0" customHeight="1">
      <c r="A57" s="10">
        <v>49.0</v>
      </c>
      <c r="B57" s="10">
        <v>16.0</v>
      </c>
      <c r="C57" s="11" t="s">
        <v>176</v>
      </c>
      <c r="D57" s="12" t="s">
        <v>143</v>
      </c>
      <c r="E57" s="13" t="s">
        <v>144</v>
      </c>
      <c r="F57" s="20" t="s">
        <v>81</v>
      </c>
      <c r="G57" s="10"/>
      <c r="H57" s="13"/>
      <c r="I57" s="10">
        <v>2.0</v>
      </c>
      <c r="J57" s="10" t="s">
        <v>58</v>
      </c>
      <c r="K57" s="16" t="s">
        <v>32</v>
      </c>
      <c r="L57" s="10" t="s">
        <v>58</v>
      </c>
      <c r="M57" s="16" t="s">
        <v>62</v>
      </c>
      <c r="N57" s="10" t="s">
        <v>58</v>
      </c>
      <c r="O57" s="16"/>
      <c r="P57" s="10"/>
      <c r="Q57" s="16"/>
      <c r="R57" s="10"/>
    </row>
    <row r="58" ht="15.0" customHeight="1">
      <c r="A58" s="10">
        <v>50.0</v>
      </c>
      <c r="B58" s="10">
        <v>18.0</v>
      </c>
      <c r="C58" s="11" t="s">
        <v>177</v>
      </c>
      <c r="D58" s="12" t="s">
        <v>143</v>
      </c>
      <c r="E58" s="13" t="s">
        <v>144</v>
      </c>
      <c r="F58" s="20" t="s">
        <v>81</v>
      </c>
      <c r="G58" s="10"/>
      <c r="H58" s="13"/>
      <c r="I58" s="10">
        <v>2.0</v>
      </c>
      <c r="J58" s="10" t="s">
        <v>58</v>
      </c>
      <c r="K58" s="16" t="s">
        <v>178</v>
      </c>
      <c r="L58" s="10" t="s">
        <v>58</v>
      </c>
      <c r="M58" s="16" t="s">
        <v>179</v>
      </c>
      <c r="N58" s="10" t="s">
        <v>58</v>
      </c>
      <c r="O58" s="16"/>
      <c r="P58" s="10"/>
      <c r="Q58" s="16"/>
      <c r="R58" s="10"/>
    </row>
    <row r="59" ht="15.0" customHeight="1">
      <c r="A59" s="10">
        <v>51.0</v>
      </c>
      <c r="B59" s="10">
        <v>11.0</v>
      </c>
      <c r="C59" s="11" t="s">
        <v>180</v>
      </c>
      <c r="D59" s="12" t="s">
        <v>143</v>
      </c>
      <c r="E59" s="13" t="s">
        <v>144</v>
      </c>
      <c r="F59" s="20" t="s">
        <v>81</v>
      </c>
      <c r="G59" s="10"/>
      <c r="H59" s="13"/>
      <c r="I59" s="10">
        <v>2.0</v>
      </c>
      <c r="J59" s="10" t="s">
        <v>58</v>
      </c>
      <c r="K59" s="16" t="s">
        <v>32</v>
      </c>
      <c r="L59" s="10" t="s">
        <v>58</v>
      </c>
      <c r="M59" s="16" t="s">
        <v>181</v>
      </c>
      <c r="N59" s="10" t="s">
        <v>58</v>
      </c>
      <c r="O59" s="16"/>
      <c r="P59" s="10"/>
      <c r="Q59" s="16"/>
      <c r="R59" s="10"/>
    </row>
    <row r="60" ht="15.0" customHeight="1">
      <c r="A60" s="10">
        <v>52.0</v>
      </c>
      <c r="B60" s="10">
        <v>42.0</v>
      </c>
      <c r="C60" s="11" t="s">
        <v>182</v>
      </c>
      <c r="D60" s="12" t="s">
        <v>143</v>
      </c>
      <c r="E60" s="13" t="s">
        <v>144</v>
      </c>
      <c r="F60" s="21" t="s">
        <v>137</v>
      </c>
      <c r="G60" s="17" t="s">
        <v>31</v>
      </c>
      <c r="H60" s="13"/>
      <c r="I60" s="10">
        <v>4.0</v>
      </c>
      <c r="J60" s="10" t="s">
        <v>58</v>
      </c>
      <c r="K60" s="16" t="s">
        <v>183</v>
      </c>
      <c r="L60" s="10" t="s">
        <v>58</v>
      </c>
      <c r="M60" s="16" t="s">
        <v>184</v>
      </c>
      <c r="N60" s="10" t="s">
        <v>58</v>
      </c>
      <c r="O60" s="16" t="s">
        <v>52</v>
      </c>
      <c r="P60" s="10" t="s">
        <v>58</v>
      </c>
      <c r="Q60" s="16" t="s">
        <v>185</v>
      </c>
      <c r="R60" s="10" t="s">
        <v>58</v>
      </c>
    </row>
    <row r="61" ht="15.0" customHeight="1">
      <c r="A61" s="7" t="s">
        <v>186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9"/>
    </row>
    <row r="62" ht="15.0" customHeight="1">
      <c r="A62" s="10">
        <v>53.0</v>
      </c>
      <c r="B62" s="10">
        <v>643.0</v>
      </c>
      <c r="C62" s="11" t="s">
        <v>187</v>
      </c>
      <c r="D62" s="22" t="s">
        <v>188</v>
      </c>
      <c r="E62" s="13" t="s">
        <v>189</v>
      </c>
      <c r="F62" s="14" t="s">
        <v>25</v>
      </c>
      <c r="G62" s="10"/>
      <c r="H62" s="18" t="s">
        <v>39</v>
      </c>
      <c r="I62" s="10">
        <v>2.0</v>
      </c>
      <c r="J62" s="10" t="s">
        <v>58</v>
      </c>
      <c r="K62" s="16" t="s">
        <v>190</v>
      </c>
      <c r="L62" s="10" t="s">
        <v>58</v>
      </c>
      <c r="M62" s="16" t="s">
        <v>191</v>
      </c>
      <c r="N62" s="10" t="s">
        <v>58</v>
      </c>
      <c r="O62" s="16"/>
      <c r="P62" s="10"/>
      <c r="Q62" s="16"/>
      <c r="R62" s="10"/>
    </row>
    <row r="63" ht="15.0" customHeight="1">
      <c r="A63" s="10">
        <v>54.0</v>
      </c>
      <c r="B63" s="10">
        <v>209.0</v>
      </c>
      <c r="C63" s="11" t="s">
        <v>192</v>
      </c>
      <c r="D63" s="22" t="s">
        <v>188</v>
      </c>
      <c r="E63" s="13" t="s">
        <v>189</v>
      </c>
      <c r="F63" s="20" t="s">
        <v>81</v>
      </c>
      <c r="G63" s="10"/>
      <c r="H63" s="13"/>
      <c r="I63" s="10">
        <v>3.0</v>
      </c>
      <c r="J63" s="10" t="s">
        <v>58</v>
      </c>
      <c r="K63" s="16" t="s">
        <v>32</v>
      </c>
      <c r="L63" s="10" t="s">
        <v>58</v>
      </c>
      <c r="M63" s="16" t="s">
        <v>193</v>
      </c>
      <c r="N63" s="10" t="s">
        <v>58</v>
      </c>
      <c r="O63" s="16" t="s">
        <v>194</v>
      </c>
      <c r="P63" s="10" t="s">
        <v>58</v>
      </c>
      <c r="Q63" s="16"/>
      <c r="R63" s="10"/>
    </row>
    <row r="64" ht="15.0" customHeight="1">
      <c r="A64" s="10">
        <v>55.0</v>
      </c>
      <c r="B64" s="10">
        <v>713.0</v>
      </c>
      <c r="C64" s="11" t="s">
        <v>195</v>
      </c>
      <c r="D64" s="22" t="s">
        <v>188</v>
      </c>
      <c r="E64" s="13" t="s">
        <v>189</v>
      </c>
      <c r="F64" s="20" t="s">
        <v>81</v>
      </c>
      <c r="G64" s="10"/>
      <c r="H64" s="13"/>
      <c r="I64" s="10">
        <v>2.0</v>
      </c>
      <c r="J64" s="10" t="s">
        <v>58</v>
      </c>
      <c r="K64" s="16" t="s">
        <v>193</v>
      </c>
      <c r="L64" s="10" t="s">
        <v>58</v>
      </c>
      <c r="M64" s="16" t="s">
        <v>196</v>
      </c>
      <c r="N64" s="10" t="s">
        <v>58</v>
      </c>
      <c r="O64" s="16"/>
      <c r="P64" s="10"/>
      <c r="Q64" s="16"/>
      <c r="R64" s="10"/>
    </row>
    <row r="65" ht="23.25" customHeight="1">
      <c r="A65" s="10">
        <v>56.0</v>
      </c>
      <c r="B65" s="10">
        <v>3.0</v>
      </c>
      <c r="C65" s="11" t="s">
        <v>197</v>
      </c>
      <c r="D65" s="22" t="s">
        <v>188</v>
      </c>
      <c r="E65" s="13" t="s">
        <v>189</v>
      </c>
      <c r="F65" s="20" t="s">
        <v>81</v>
      </c>
      <c r="G65" s="17" t="s">
        <v>31</v>
      </c>
      <c r="H65" s="13"/>
      <c r="I65" s="10">
        <v>3.0</v>
      </c>
      <c r="J65" s="10" t="s">
        <v>58</v>
      </c>
      <c r="K65" s="16" t="s">
        <v>32</v>
      </c>
      <c r="L65" s="10" t="s">
        <v>58</v>
      </c>
      <c r="M65" s="16" t="s">
        <v>198</v>
      </c>
      <c r="N65" s="10" t="s">
        <v>58</v>
      </c>
      <c r="O65" s="16" t="s">
        <v>199</v>
      </c>
      <c r="P65" s="10" t="s">
        <v>58</v>
      </c>
      <c r="Q65" s="16"/>
      <c r="R65" s="10"/>
    </row>
    <row r="66" ht="23.25" customHeight="1">
      <c r="A66" s="10">
        <v>57.0</v>
      </c>
      <c r="B66" s="10">
        <v>1695.0</v>
      </c>
      <c r="C66" s="11" t="s">
        <v>200</v>
      </c>
      <c r="D66" s="22" t="s">
        <v>188</v>
      </c>
      <c r="E66" s="13" t="s">
        <v>189</v>
      </c>
      <c r="F66" s="20" t="s">
        <v>81</v>
      </c>
      <c r="G66" s="10"/>
      <c r="H66" s="13"/>
      <c r="I66" s="10">
        <v>2.0</v>
      </c>
      <c r="J66" s="10" t="s">
        <v>58</v>
      </c>
      <c r="K66" s="16" t="s">
        <v>201</v>
      </c>
      <c r="L66" s="10" t="s">
        <v>58</v>
      </c>
      <c r="M66" s="16" t="s">
        <v>202</v>
      </c>
      <c r="N66" s="10" t="s">
        <v>58</v>
      </c>
      <c r="O66" s="16"/>
      <c r="P66" s="10"/>
      <c r="Q66" s="16"/>
      <c r="R66" s="10"/>
    </row>
    <row r="67" ht="15.0" customHeight="1">
      <c r="A67" s="10">
        <v>58.0</v>
      </c>
      <c r="B67" s="10">
        <v>904.0</v>
      </c>
      <c r="C67" s="11" t="s">
        <v>203</v>
      </c>
      <c r="D67" s="22" t="s">
        <v>188</v>
      </c>
      <c r="E67" s="13" t="s">
        <v>189</v>
      </c>
      <c r="F67" s="20" t="s">
        <v>81</v>
      </c>
      <c r="G67" s="10"/>
      <c r="H67" s="13"/>
      <c r="I67" s="10">
        <v>2.0</v>
      </c>
      <c r="J67" s="10" t="s">
        <v>58</v>
      </c>
      <c r="K67" s="16" t="s">
        <v>32</v>
      </c>
      <c r="L67" s="10" t="s">
        <v>58</v>
      </c>
      <c r="M67" s="16" t="s">
        <v>204</v>
      </c>
      <c r="N67" s="10" t="s">
        <v>58</v>
      </c>
      <c r="O67" s="16"/>
      <c r="P67" s="10"/>
      <c r="Q67" s="16"/>
      <c r="R67" s="10"/>
    </row>
    <row r="68" ht="15.0" customHeight="1">
      <c r="A68" s="10">
        <v>59.0</v>
      </c>
      <c r="B68" s="10">
        <v>159.0</v>
      </c>
      <c r="C68" s="11" t="s">
        <v>205</v>
      </c>
      <c r="D68" s="22" t="s">
        <v>188</v>
      </c>
      <c r="E68" s="13" t="s">
        <v>189</v>
      </c>
      <c r="F68" s="20" t="s">
        <v>81</v>
      </c>
      <c r="G68" s="10"/>
      <c r="H68" s="13"/>
      <c r="I68" s="10">
        <v>2.0</v>
      </c>
      <c r="J68" s="10" t="s">
        <v>58</v>
      </c>
      <c r="K68" s="16" t="s">
        <v>32</v>
      </c>
      <c r="L68" s="10" t="s">
        <v>58</v>
      </c>
      <c r="M68" s="16" t="s">
        <v>204</v>
      </c>
      <c r="N68" s="10" t="s">
        <v>58</v>
      </c>
      <c r="O68" s="16"/>
      <c r="P68" s="10"/>
      <c r="Q68" s="16"/>
      <c r="R68" s="10"/>
    </row>
    <row r="69" ht="15.0" customHeight="1">
      <c r="A69" s="10">
        <v>60.0</v>
      </c>
      <c r="B69" s="10">
        <v>340.0</v>
      </c>
      <c r="C69" s="11" t="s">
        <v>206</v>
      </c>
      <c r="D69" s="22" t="s">
        <v>188</v>
      </c>
      <c r="E69" s="13" t="s">
        <v>189</v>
      </c>
      <c r="F69" s="20" t="s">
        <v>81</v>
      </c>
      <c r="G69" s="10"/>
      <c r="H69" s="13"/>
      <c r="I69" s="10">
        <v>2.0</v>
      </c>
      <c r="J69" s="10" t="s">
        <v>58</v>
      </c>
      <c r="K69" s="16" t="s">
        <v>204</v>
      </c>
      <c r="L69" s="10" t="s">
        <v>58</v>
      </c>
      <c r="M69" s="16" t="s">
        <v>207</v>
      </c>
      <c r="N69" s="10" t="s">
        <v>58</v>
      </c>
      <c r="O69" s="16"/>
      <c r="P69" s="10"/>
      <c r="Q69" s="16"/>
      <c r="R69" s="10"/>
    </row>
    <row r="70" ht="15.0" customHeight="1">
      <c r="A70" s="10">
        <v>61.0</v>
      </c>
      <c r="B70" s="10">
        <v>1004.0</v>
      </c>
      <c r="C70" s="11" t="s">
        <v>208</v>
      </c>
      <c r="D70" s="22" t="s">
        <v>188</v>
      </c>
      <c r="E70" s="13" t="s">
        <v>189</v>
      </c>
      <c r="F70" s="20" t="s">
        <v>81</v>
      </c>
      <c r="G70" s="10"/>
      <c r="H70" s="13"/>
      <c r="I70" s="10">
        <v>2.0</v>
      </c>
      <c r="J70" s="10" t="s">
        <v>58</v>
      </c>
      <c r="K70" s="16" t="s">
        <v>209</v>
      </c>
      <c r="L70" s="10" t="s">
        <v>58</v>
      </c>
      <c r="M70" s="16" t="s">
        <v>210</v>
      </c>
      <c r="N70" s="10" t="s">
        <v>58</v>
      </c>
      <c r="O70" s="16"/>
      <c r="P70" s="10"/>
      <c r="Q70" s="16"/>
      <c r="R70" s="10"/>
    </row>
    <row r="71" ht="15.0" customHeight="1">
      <c r="A71" s="10">
        <v>62.0</v>
      </c>
      <c r="B71" s="10">
        <v>1493.0</v>
      </c>
      <c r="C71" s="11" t="s">
        <v>211</v>
      </c>
      <c r="D71" s="22" t="s">
        <v>188</v>
      </c>
      <c r="E71" s="13" t="s">
        <v>189</v>
      </c>
      <c r="F71" s="20" t="s">
        <v>81</v>
      </c>
      <c r="G71" s="10"/>
      <c r="H71" s="13"/>
      <c r="I71" s="10">
        <v>2.0</v>
      </c>
      <c r="J71" s="10" t="s">
        <v>58</v>
      </c>
      <c r="K71" s="16" t="s">
        <v>212</v>
      </c>
      <c r="L71" s="10" t="s">
        <v>58</v>
      </c>
      <c r="M71" s="16" t="s">
        <v>213</v>
      </c>
      <c r="N71" s="10" t="s">
        <v>58</v>
      </c>
      <c r="O71" s="16"/>
      <c r="P71" s="10"/>
      <c r="Q71" s="16"/>
      <c r="R71" s="10"/>
    </row>
    <row r="72" ht="15.0" customHeight="1">
      <c r="A72" s="10">
        <v>63.0</v>
      </c>
      <c r="B72" s="10">
        <v>424.0</v>
      </c>
      <c r="C72" s="11" t="s">
        <v>214</v>
      </c>
      <c r="D72" s="22" t="s">
        <v>188</v>
      </c>
      <c r="E72" s="13" t="s">
        <v>189</v>
      </c>
      <c r="F72" s="20" t="s">
        <v>81</v>
      </c>
      <c r="G72" s="10"/>
      <c r="H72" s="13"/>
      <c r="I72" s="10">
        <v>2.0</v>
      </c>
      <c r="J72" s="10" t="s">
        <v>58</v>
      </c>
      <c r="K72" s="16" t="s">
        <v>215</v>
      </c>
      <c r="L72" s="10" t="s">
        <v>58</v>
      </c>
      <c r="M72" s="16" t="s">
        <v>216</v>
      </c>
      <c r="N72" s="10" t="s">
        <v>58</v>
      </c>
      <c r="O72" s="16"/>
      <c r="P72" s="10"/>
      <c r="Q72" s="16"/>
      <c r="R72" s="10"/>
    </row>
    <row r="73" ht="15.0" customHeight="1">
      <c r="A73" s="10">
        <v>64.0</v>
      </c>
      <c r="B73" s="10">
        <v>567.0</v>
      </c>
      <c r="C73" s="11" t="s">
        <v>217</v>
      </c>
      <c r="D73" s="22" t="s">
        <v>188</v>
      </c>
      <c r="E73" s="13" t="s">
        <v>189</v>
      </c>
      <c r="F73" s="20" t="s">
        <v>81</v>
      </c>
      <c r="G73" s="10"/>
      <c r="H73" s="13"/>
      <c r="I73" s="10">
        <v>3.0</v>
      </c>
      <c r="J73" s="10" t="s">
        <v>58</v>
      </c>
      <c r="K73" s="16" t="s">
        <v>218</v>
      </c>
      <c r="L73" s="10" t="s">
        <v>58</v>
      </c>
      <c r="M73" s="16" t="s">
        <v>219</v>
      </c>
      <c r="N73" s="10" t="s">
        <v>58</v>
      </c>
      <c r="O73" s="16" t="s">
        <v>220</v>
      </c>
      <c r="P73" s="10" t="s">
        <v>58</v>
      </c>
      <c r="Q73" s="16"/>
      <c r="R73" s="10"/>
    </row>
    <row r="74" ht="15.0" customHeight="1">
      <c r="A74" s="10">
        <v>65.0</v>
      </c>
      <c r="B74" s="10">
        <v>438.0</v>
      </c>
      <c r="C74" s="11" t="s">
        <v>221</v>
      </c>
      <c r="D74" s="22" t="s">
        <v>188</v>
      </c>
      <c r="E74" s="13" t="s">
        <v>189</v>
      </c>
      <c r="F74" s="20" t="s">
        <v>81</v>
      </c>
      <c r="G74" s="10"/>
      <c r="H74" s="13"/>
      <c r="I74" s="10">
        <v>2.0</v>
      </c>
      <c r="J74" s="10" t="s">
        <v>58</v>
      </c>
      <c r="K74" s="16" t="s">
        <v>219</v>
      </c>
      <c r="L74" s="10" t="s">
        <v>58</v>
      </c>
      <c r="M74" s="16" t="s">
        <v>220</v>
      </c>
      <c r="N74" s="10" t="s">
        <v>58</v>
      </c>
      <c r="O74" s="16"/>
      <c r="P74" s="10"/>
      <c r="Q74" s="16"/>
      <c r="R74" s="10"/>
    </row>
    <row r="75" ht="15.0" customHeight="1">
      <c r="A75" s="10">
        <v>66.0</v>
      </c>
      <c r="B75" s="10">
        <v>1248.0</v>
      </c>
      <c r="C75" s="11" t="s">
        <v>222</v>
      </c>
      <c r="D75" s="22" t="s">
        <v>188</v>
      </c>
      <c r="E75" s="13" t="s">
        <v>189</v>
      </c>
      <c r="F75" s="20" t="s">
        <v>81</v>
      </c>
      <c r="G75" s="10"/>
      <c r="H75" s="13"/>
      <c r="I75" s="10">
        <v>3.0</v>
      </c>
      <c r="J75" s="10" t="s">
        <v>58</v>
      </c>
      <c r="K75" s="16" t="s">
        <v>223</v>
      </c>
      <c r="L75" s="10" t="s">
        <v>58</v>
      </c>
      <c r="M75" s="16" t="s">
        <v>224</v>
      </c>
      <c r="N75" s="10" t="s">
        <v>58</v>
      </c>
      <c r="O75" s="16" t="s">
        <v>225</v>
      </c>
      <c r="P75" s="10" t="s">
        <v>58</v>
      </c>
      <c r="Q75" s="16"/>
      <c r="R75" s="10"/>
    </row>
    <row r="76" ht="15.0" customHeight="1">
      <c r="A76" s="10">
        <v>67.0</v>
      </c>
      <c r="B76" s="10">
        <v>1658.0</v>
      </c>
      <c r="C76" s="11" t="s">
        <v>226</v>
      </c>
      <c r="D76" s="22" t="s">
        <v>188</v>
      </c>
      <c r="E76" s="13" t="s">
        <v>189</v>
      </c>
      <c r="F76" s="20" t="s">
        <v>81</v>
      </c>
      <c r="G76" s="10"/>
      <c r="H76" s="13"/>
      <c r="I76" s="10">
        <v>2.0</v>
      </c>
      <c r="J76" s="10" t="s">
        <v>58</v>
      </c>
      <c r="K76" s="16" t="s">
        <v>227</v>
      </c>
      <c r="L76" s="10" t="s">
        <v>58</v>
      </c>
      <c r="M76" s="16" t="s">
        <v>228</v>
      </c>
      <c r="N76" s="10" t="s">
        <v>58</v>
      </c>
      <c r="O76" s="16"/>
      <c r="P76" s="10"/>
      <c r="Q76" s="16"/>
      <c r="R76" s="10"/>
    </row>
    <row r="77" ht="15.0" customHeight="1">
      <c r="A77" s="10">
        <v>68.0</v>
      </c>
      <c r="B77" s="10">
        <v>239.0</v>
      </c>
      <c r="C77" s="11" t="s">
        <v>229</v>
      </c>
      <c r="D77" s="22" t="s">
        <v>188</v>
      </c>
      <c r="E77" s="13" t="s">
        <v>189</v>
      </c>
      <c r="F77" s="21" t="s">
        <v>137</v>
      </c>
      <c r="G77" s="17" t="s">
        <v>31</v>
      </c>
      <c r="H77" s="13"/>
      <c r="I77" s="10">
        <v>3.0</v>
      </c>
      <c r="J77" s="10" t="s">
        <v>58</v>
      </c>
      <c r="K77" s="16" t="s">
        <v>32</v>
      </c>
      <c r="L77" s="10" t="s">
        <v>58</v>
      </c>
      <c r="M77" s="16" t="s">
        <v>230</v>
      </c>
      <c r="N77" s="10" t="s">
        <v>58</v>
      </c>
      <c r="O77" s="16" t="s">
        <v>231</v>
      </c>
      <c r="P77" s="10" t="s">
        <v>58</v>
      </c>
      <c r="Q77" s="16"/>
      <c r="R77" s="10"/>
    </row>
    <row r="78" ht="15.0" customHeight="1">
      <c r="A78" s="10">
        <v>69.0</v>
      </c>
      <c r="B78" s="10">
        <v>76.0</v>
      </c>
      <c r="C78" s="11" t="s">
        <v>232</v>
      </c>
      <c r="D78" s="22" t="s">
        <v>188</v>
      </c>
      <c r="E78" s="13" t="s">
        <v>189</v>
      </c>
      <c r="F78" s="21" t="s">
        <v>137</v>
      </c>
      <c r="G78" s="17" t="s">
        <v>31</v>
      </c>
      <c r="H78" s="13"/>
      <c r="I78" s="10">
        <v>3.0</v>
      </c>
      <c r="J78" s="10" t="s">
        <v>58</v>
      </c>
      <c r="K78" s="16" t="s">
        <v>32</v>
      </c>
      <c r="L78" s="10" t="s">
        <v>58</v>
      </c>
      <c r="M78" s="16" t="s">
        <v>233</v>
      </c>
      <c r="N78" s="10" t="s">
        <v>58</v>
      </c>
      <c r="O78" s="16" t="s">
        <v>234</v>
      </c>
      <c r="P78" s="10" t="s">
        <v>58</v>
      </c>
      <c r="Q78" s="16"/>
      <c r="R78" s="10"/>
    </row>
    <row r="79" ht="15.0" customHeight="1">
      <c r="A79" s="7" t="s">
        <v>235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9"/>
    </row>
    <row r="80" ht="15.0" customHeight="1">
      <c r="A80" s="10">
        <v>70.0</v>
      </c>
      <c r="B80" s="10">
        <v>20.0</v>
      </c>
      <c r="C80" s="11" t="s">
        <v>236</v>
      </c>
      <c r="D80" s="22" t="s">
        <v>237</v>
      </c>
      <c r="E80" s="13" t="s">
        <v>238</v>
      </c>
      <c r="F80" s="14" t="s">
        <v>25</v>
      </c>
      <c r="G80" s="17" t="s">
        <v>31</v>
      </c>
      <c r="H80" s="13"/>
      <c r="I80" s="10">
        <v>2.0</v>
      </c>
      <c r="J80" s="10" t="s">
        <v>58</v>
      </c>
      <c r="K80" s="16" t="s">
        <v>239</v>
      </c>
      <c r="L80" s="10" t="s">
        <v>58</v>
      </c>
      <c r="M80" s="16" t="s">
        <v>240</v>
      </c>
      <c r="N80" s="10" t="s">
        <v>58</v>
      </c>
      <c r="O80" s="16"/>
      <c r="P80" s="10"/>
      <c r="Q80" s="16"/>
      <c r="R80" s="10"/>
    </row>
    <row r="81" ht="15.0" customHeight="1">
      <c r="A81" s="10">
        <v>71.0</v>
      </c>
      <c r="B81" s="10">
        <v>1047.0</v>
      </c>
      <c r="C81" s="11" t="s">
        <v>241</v>
      </c>
      <c r="D81" s="22" t="s">
        <v>237</v>
      </c>
      <c r="E81" s="13" t="s">
        <v>238</v>
      </c>
      <c r="F81" s="14" t="s">
        <v>25</v>
      </c>
      <c r="G81" s="10"/>
      <c r="H81" s="13"/>
      <c r="I81" s="10">
        <v>2.0</v>
      </c>
      <c r="J81" s="10" t="s">
        <v>58</v>
      </c>
      <c r="K81" s="16" t="s">
        <v>129</v>
      </c>
      <c r="L81" s="10" t="s">
        <v>58</v>
      </c>
      <c r="M81" s="16" t="s">
        <v>242</v>
      </c>
      <c r="N81" s="10" t="s">
        <v>58</v>
      </c>
      <c r="O81" s="16"/>
      <c r="P81" s="10"/>
      <c r="Q81" s="16"/>
      <c r="R81" s="10"/>
    </row>
    <row r="82" ht="15.0" customHeight="1">
      <c r="A82" s="10">
        <v>72.0</v>
      </c>
      <c r="B82" s="10">
        <v>1544.0</v>
      </c>
      <c r="C82" s="11" t="s">
        <v>243</v>
      </c>
      <c r="D82" s="22" t="s">
        <v>237</v>
      </c>
      <c r="E82" s="13" t="s">
        <v>238</v>
      </c>
      <c r="F82" s="14" t="s">
        <v>25</v>
      </c>
      <c r="G82" s="10"/>
      <c r="H82" s="13"/>
      <c r="I82" s="10">
        <v>2.0</v>
      </c>
      <c r="J82" s="10" t="s">
        <v>58</v>
      </c>
      <c r="K82" s="16" t="s">
        <v>129</v>
      </c>
      <c r="L82" s="10" t="s">
        <v>58</v>
      </c>
      <c r="M82" s="16" t="s">
        <v>244</v>
      </c>
      <c r="N82" s="10" t="s">
        <v>58</v>
      </c>
      <c r="O82" s="16"/>
      <c r="P82" s="10"/>
      <c r="Q82" s="16"/>
      <c r="R82" s="10"/>
    </row>
    <row r="83" ht="15.0" customHeight="1">
      <c r="A83" s="10">
        <v>73.0</v>
      </c>
      <c r="B83" s="10">
        <v>682.0</v>
      </c>
      <c r="C83" s="11" t="s">
        <v>245</v>
      </c>
      <c r="D83" s="22" t="s">
        <v>237</v>
      </c>
      <c r="E83" s="13" t="s">
        <v>238</v>
      </c>
      <c r="F83" s="14" t="s">
        <v>25</v>
      </c>
      <c r="G83" s="19" t="s">
        <v>46</v>
      </c>
      <c r="H83" s="13"/>
      <c r="I83" s="10">
        <v>1.0</v>
      </c>
      <c r="J83" s="10" t="s">
        <v>58</v>
      </c>
      <c r="K83" s="16" t="s">
        <v>246</v>
      </c>
      <c r="L83" s="10" t="s">
        <v>58</v>
      </c>
      <c r="M83" s="16"/>
      <c r="N83" s="10"/>
      <c r="O83" s="16"/>
      <c r="P83" s="10"/>
      <c r="Q83" s="16"/>
      <c r="R83" s="10"/>
    </row>
    <row r="84" ht="15.0" customHeight="1">
      <c r="A84" s="10">
        <v>74.0</v>
      </c>
      <c r="B84" s="10">
        <v>232.0</v>
      </c>
      <c r="C84" s="11" t="s">
        <v>247</v>
      </c>
      <c r="D84" s="22" t="s">
        <v>237</v>
      </c>
      <c r="E84" s="13" t="s">
        <v>238</v>
      </c>
      <c r="F84" s="14" t="s">
        <v>25</v>
      </c>
      <c r="G84" s="10"/>
      <c r="H84" s="13"/>
      <c r="I84" s="10">
        <v>2.0</v>
      </c>
      <c r="J84" s="10" t="s">
        <v>58</v>
      </c>
      <c r="K84" s="16" t="s">
        <v>248</v>
      </c>
      <c r="L84" s="10" t="s">
        <v>58</v>
      </c>
      <c r="M84" s="16" t="s">
        <v>249</v>
      </c>
      <c r="N84" s="10" t="s">
        <v>58</v>
      </c>
      <c r="O84" s="16"/>
      <c r="P84" s="10"/>
      <c r="Q84" s="16"/>
      <c r="R84" s="10"/>
    </row>
    <row r="85" ht="15.0" customHeight="1">
      <c r="A85" s="10">
        <v>75.0</v>
      </c>
      <c r="B85" s="10">
        <v>225.0</v>
      </c>
      <c r="C85" s="11" t="s">
        <v>250</v>
      </c>
      <c r="D85" s="22" t="s">
        <v>237</v>
      </c>
      <c r="E85" s="13" t="s">
        <v>238</v>
      </c>
      <c r="F85" s="14" t="s">
        <v>25</v>
      </c>
      <c r="G85" s="10"/>
      <c r="H85" s="13"/>
      <c r="I85" s="10">
        <v>2.0</v>
      </c>
      <c r="J85" s="10" t="s">
        <v>58</v>
      </c>
      <c r="K85" s="16" t="s">
        <v>251</v>
      </c>
      <c r="L85" s="10" t="s">
        <v>58</v>
      </c>
      <c r="M85" s="16" t="s">
        <v>252</v>
      </c>
      <c r="N85" s="10" t="s">
        <v>58</v>
      </c>
      <c r="O85" s="16"/>
      <c r="P85" s="10"/>
      <c r="Q85" s="16"/>
      <c r="R85" s="10"/>
    </row>
    <row r="86" ht="15.0" customHeight="1">
      <c r="A86" s="10">
        <v>76.0</v>
      </c>
      <c r="B86" s="10">
        <v>346.0</v>
      </c>
      <c r="C86" s="11" t="s">
        <v>253</v>
      </c>
      <c r="D86" s="22" t="s">
        <v>237</v>
      </c>
      <c r="E86" s="13" t="s">
        <v>238</v>
      </c>
      <c r="F86" s="14" t="s">
        <v>25</v>
      </c>
      <c r="G86" s="19" t="s">
        <v>46</v>
      </c>
      <c r="H86" s="13"/>
      <c r="I86" s="10">
        <v>2.0</v>
      </c>
      <c r="J86" s="10" t="s">
        <v>58</v>
      </c>
      <c r="K86" s="16" t="s">
        <v>254</v>
      </c>
      <c r="L86" s="10" t="s">
        <v>58</v>
      </c>
      <c r="M86" s="16" t="s">
        <v>255</v>
      </c>
      <c r="N86" s="10" t="s">
        <v>58</v>
      </c>
      <c r="O86" s="16"/>
      <c r="P86" s="10"/>
      <c r="Q86" s="16"/>
      <c r="R86" s="10"/>
    </row>
    <row r="87" ht="15.0" customHeight="1">
      <c r="A87" s="10">
        <v>77.0</v>
      </c>
      <c r="B87" s="10">
        <v>155.0</v>
      </c>
      <c r="C87" s="11" t="s">
        <v>256</v>
      </c>
      <c r="D87" s="22" t="s">
        <v>237</v>
      </c>
      <c r="E87" s="13" t="s">
        <v>238</v>
      </c>
      <c r="F87" s="20" t="s">
        <v>81</v>
      </c>
      <c r="G87" s="10"/>
      <c r="H87" s="18" t="s">
        <v>39</v>
      </c>
      <c r="I87" s="10">
        <v>3.0</v>
      </c>
      <c r="J87" s="10" t="s">
        <v>58</v>
      </c>
      <c r="K87" s="16" t="s">
        <v>257</v>
      </c>
      <c r="L87" s="10" t="s">
        <v>58</v>
      </c>
      <c r="M87" s="16" t="s">
        <v>258</v>
      </c>
      <c r="N87" s="10" t="s">
        <v>58</v>
      </c>
      <c r="O87" s="16" t="s">
        <v>259</v>
      </c>
      <c r="P87" s="10" t="s">
        <v>58</v>
      </c>
      <c r="Q87" s="16"/>
      <c r="R87" s="10"/>
    </row>
    <row r="88" ht="15.0" customHeight="1">
      <c r="A88" s="10">
        <v>78.0</v>
      </c>
      <c r="B88" s="10">
        <v>496.0</v>
      </c>
      <c r="C88" s="11" t="s">
        <v>260</v>
      </c>
      <c r="D88" s="22" t="s">
        <v>237</v>
      </c>
      <c r="E88" s="13" t="s">
        <v>238</v>
      </c>
      <c r="F88" s="14" t="s">
        <v>25</v>
      </c>
      <c r="G88" s="10"/>
      <c r="H88" s="13"/>
      <c r="I88" s="10">
        <v>2.0</v>
      </c>
      <c r="J88" s="10" t="s">
        <v>58</v>
      </c>
      <c r="K88" s="16" t="s">
        <v>32</v>
      </c>
      <c r="L88" s="10" t="s">
        <v>58</v>
      </c>
      <c r="M88" s="16" t="s">
        <v>261</v>
      </c>
      <c r="N88" s="10" t="s">
        <v>58</v>
      </c>
      <c r="O88" s="16"/>
      <c r="P88" s="10"/>
      <c r="Q88" s="16"/>
      <c r="R88" s="10"/>
    </row>
    <row r="89" ht="15.0" customHeight="1">
      <c r="A89" s="10">
        <v>79.0</v>
      </c>
      <c r="B89" s="10">
        <v>2390.0</v>
      </c>
      <c r="C89" s="11" t="s">
        <v>262</v>
      </c>
      <c r="D89" s="22" t="s">
        <v>237</v>
      </c>
      <c r="E89" s="13" t="s">
        <v>238</v>
      </c>
      <c r="F89" s="20" t="s">
        <v>81</v>
      </c>
      <c r="G89" s="10"/>
      <c r="H89" s="13"/>
      <c r="I89" s="10">
        <v>2.0</v>
      </c>
      <c r="J89" s="10" t="s">
        <v>58</v>
      </c>
      <c r="K89" s="16" t="s">
        <v>129</v>
      </c>
      <c r="L89" s="10" t="s">
        <v>58</v>
      </c>
      <c r="M89" s="16" t="s">
        <v>242</v>
      </c>
      <c r="N89" s="10" t="s">
        <v>58</v>
      </c>
      <c r="O89" s="16"/>
      <c r="P89" s="10"/>
      <c r="Q89" s="16"/>
      <c r="R89" s="10"/>
    </row>
    <row r="90" ht="15.0" customHeight="1">
      <c r="A90" s="10">
        <v>80.0</v>
      </c>
      <c r="B90" s="10">
        <v>921.0</v>
      </c>
      <c r="C90" s="11" t="s">
        <v>263</v>
      </c>
      <c r="D90" s="22" t="s">
        <v>237</v>
      </c>
      <c r="E90" s="13" t="s">
        <v>238</v>
      </c>
      <c r="F90" s="20" t="s">
        <v>81</v>
      </c>
      <c r="G90" s="10"/>
      <c r="H90" s="13"/>
      <c r="I90" s="10">
        <v>2.0</v>
      </c>
      <c r="J90" s="10" t="s">
        <v>58</v>
      </c>
      <c r="K90" s="16" t="s">
        <v>129</v>
      </c>
      <c r="L90" s="10" t="s">
        <v>58</v>
      </c>
      <c r="M90" s="16" t="s">
        <v>264</v>
      </c>
      <c r="N90" s="10" t="s">
        <v>58</v>
      </c>
      <c r="O90" s="16"/>
      <c r="P90" s="10"/>
      <c r="Q90" s="16"/>
      <c r="R90" s="10"/>
    </row>
    <row r="91" ht="15.0" customHeight="1">
      <c r="A91" s="10">
        <v>81.0</v>
      </c>
      <c r="B91" s="10">
        <v>946.0</v>
      </c>
      <c r="C91" s="11" t="s">
        <v>265</v>
      </c>
      <c r="D91" s="22" t="s">
        <v>237</v>
      </c>
      <c r="E91" s="13" t="s">
        <v>238</v>
      </c>
      <c r="F91" s="20" t="s">
        <v>81</v>
      </c>
      <c r="G91" s="10"/>
      <c r="H91" s="13"/>
      <c r="I91" s="10">
        <v>2.0</v>
      </c>
      <c r="J91" s="10" t="s">
        <v>58</v>
      </c>
      <c r="K91" s="16" t="s">
        <v>246</v>
      </c>
      <c r="L91" s="10" t="s">
        <v>58</v>
      </c>
      <c r="M91" s="16" t="s">
        <v>266</v>
      </c>
      <c r="N91" s="10" t="s">
        <v>58</v>
      </c>
      <c r="O91" s="16"/>
      <c r="P91" s="10"/>
      <c r="Q91" s="16"/>
      <c r="R91" s="10"/>
    </row>
    <row r="92" ht="15.0" customHeight="1">
      <c r="A92" s="10">
        <v>82.0</v>
      </c>
      <c r="B92" s="10">
        <v>71.0</v>
      </c>
      <c r="C92" s="11" t="s">
        <v>267</v>
      </c>
      <c r="D92" s="22" t="s">
        <v>237</v>
      </c>
      <c r="E92" s="13" t="s">
        <v>238</v>
      </c>
      <c r="F92" s="20" t="s">
        <v>81</v>
      </c>
      <c r="G92" s="10"/>
      <c r="H92" s="13"/>
      <c r="I92" s="10">
        <v>1.0</v>
      </c>
      <c r="J92" s="10" t="s">
        <v>58</v>
      </c>
      <c r="K92" s="16" t="s">
        <v>268</v>
      </c>
      <c r="L92" s="10" t="s">
        <v>58</v>
      </c>
      <c r="M92" s="16"/>
      <c r="N92" s="10"/>
      <c r="O92" s="16"/>
      <c r="P92" s="10"/>
      <c r="Q92" s="16"/>
      <c r="R92" s="10"/>
    </row>
    <row r="93" ht="15.0" customHeight="1">
      <c r="A93" s="10">
        <v>83.0</v>
      </c>
      <c r="B93" s="10">
        <v>150.0</v>
      </c>
      <c r="C93" s="11" t="s">
        <v>269</v>
      </c>
      <c r="D93" s="22" t="s">
        <v>237</v>
      </c>
      <c r="E93" s="13" t="s">
        <v>238</v>
      </c>
      <c r="F93" s="20" t="s">
        <v>81</v>
      </c>
      <c r="G93" s="10"/>
      <c r="H93" s="13"/>
      <c r="I93" s="10">
        <v>2.0</v>
      </c>
      <c r="J93" s="10" t="s">
        <v>58</v>
      </c>
      <c r="K93" s="16" t="s">
        <v>129</v>
      </c>
      <c r="L93" s="10" t="s">
        <v>58</v>
      </c>
      <c r="M93" s="16" t="s">
        <v>270</v>
      </c>
      <c r="N93" s="10" t="s">
        <v>58</v>
      </c>
      <c r="O93" s="16"/>
      <c r="P93" s="10"/>
      <c r="Q93" s="16"/>
      <c r="R93" s="10"/>
    </row>
    <row r="94" ht="15.0" customHeight="1">
      <c r="A94" s="10">
        <v>84.0</v>
      </c>
      <c r="B94" s="10">
        <v>394.0</v>
      </c>
      <c r="C94" s="11" t="s">
        <v>271</v>
      </c>
      <c r="D94" s="22" t="s">
        <v>237</v>
      </c>
      <c r="E94" s="13" t="s">
        <v>238</v>
      </c>
      <c r="F94" s="20" t="s">
        <v>81</v>
      </c>
      <c r="G94" s="10"/>
      <c r="H94" s="13"/>
      <c r="I94" s="10">
        <v>2.0</v>
      </c>
      <c r="J94" s="10" t="s">
        <v>58</v>
      </c>
      <c r="K94" s="16" t="s">
        <v>272</v>
      </c>
      <c r="L94" s="10" t="s">
        <v>58</v>
      </c>
      <c r="M94" s="16" t="s">
        <v>273</v>
      </c>
      <c r="N94" s="10" t="s">
        <v>58</v>
      </c>
      <c r="O94" s="16"/>
      <c r="P94" s="10"/>
      <c r="Q94" s="16"/>
      <c r="R94" s="10"/>
    </row>
    <row r="95" ht="15.0" customHeight="1">
      <c r="A95" s="10">
        <v>85.0</v>
      </c>
      <c r="B95" s="10">
        <v>856.0</v>
      </c>
      <c r="C95" s="11" t="s">
        <v>274</v>
      </c>
      <c r="D95" s="22" t="s">
        <v>237</v>
      </c>
      <c r="E95" s="13" t="s">
        <v>238</v>
      </c>
      <c r="F95" s="20" t="s">
        <v>81</v>
      </c>
      <c r="G95" s="10"/>
      <c r="H95" s="13"/>
      <c r="I95" s="10">
        <v>2.0</v>
      </c>
      <c r="J95" s="10" t="s">
        <v>58</v>
      </c>
      <c r="K95" s="16" t="s">
        <v>275</v>
      </c>
      <c r="L95" s="10" t="s">
        <v>58</v>
      </c>
      <c r="M95" s="16" t="s">
        <v>276</v>
      </c>
      <c r="N95" s="10" t="s">
        <v>58</v>
      </c>
      <c r="O95" s="16"/>
      <c r="P95" s="10"/>
      <c r="Q95" s="16"/>
      <c r="R95" s="10"/>
    </row>
    <row r="96" ht="15.0" customHeight="1">
      <c r="A96" s="10">
        <v>86.0</v>
      </c>
      <c r="B96" s="10">
        <v>735.0</v>
      </c>
      <c r="C96" s="11" t="s">
        <v>277</v>
      </c>
      <c r="D96" s="22" t="s">
        <v>237</v>
      </c>
      <c r="E96" s="13" t="s">
        <v>238</v>
      </c>
      <c r="F96" s="20" t="s">
        <v>81</v>
      </c>
      <c r="G96" s="10"/>
      <c r="H96" s="13"/>
      <c r="I96" s="10">
        <v>1.0</v>
      </c>
      <c r="J96" s="10" t="s">
        <v>58</v>
      </c>
      <c r="K96" s="16" t="s">
        <v>246</v>
      </c>
      <c r="L96" s="10" t="s">
        <v>58</v>
      </c>
      <c r="M96" s="16"/>
      <c r="N96" s="10"/>
      <c r="O96" s="16"/>
      <c r="P96" s="10"/>
      <c r="Q96" s="16"/>
      <c r="R96" s="10"/>
    </row>
    <row r="97" ht="15.0" customHeight="1">
      <c r="A97" s="10">
        <v>87.0</v>
      </c>
      <c r="B97" s="10">
        <v>739.0</v>
      </c>
      <c r="C97" s="11" t="s">
        <v>278</v>
      </c>
      <c r="D97" s="22" t="s">
        <v>237</v>
      </c>
      <c r="E97" s="13" t="s">
        <v>238</v>
      </c>
      <c r="F97" s="20" t="s">
        <v>81</v>
      </c>
      <c r="G97" s="17" t="s">
        <v>31</v>
      </c>
      <c r="H97" s="13"/>
      <c r="I97" s="10">
        <v>3.0</v>
      </c>
      <c r="J97" s="10" t="s">
        <v>58</v>
      </c>
      <c r="K97" s="16" t="s">
        <v>32</v>
      </c>
      <c r="L97" s="10" t="s">
        <v>58</v>
      </c>
      <c r="M97" s="16" t="s">
        <v>185</v>
      </c>
      <c r="N97" s="10" t="s">
        <v>58</v>
      </c>
      <c r="O97" s="16" t="s">
        <v>279</v>
      </c>
      <c r="P97" s="10" t="s">
        <v>58</v>
      </c>
      <c r="Q97" s="16"/>
      <c r="R97" s="10"/>
    </row>
    <row r="98" ht="15.0" customHeight="1">
      <c r="A98" s="10">
        <v>88.0</v>
      </c>
      <c r="B98" s="10">
        <v>503.0</v>
      </c>
      <c r="C98" s="11" t="s">
        <v>280</v>
      </c>
      <c r="D98" s="22" t="s">
        <v>237</v>
      </c>
      <c r="E98" s="13" t="s">
        <v>238</v>
      </c>
      <c r="F98" s="20" t="s">
        <v>81</v>
      </c>
      <c r="G98" s="10"/>
      <c r="H98" s="13"/>
      <c r="I98" s="10">
        <v>2.0</v>
      </c>
      <c r="J98" s="10" t="s">
        <v>58</v>
      </c>
      <c r="K98" s="16" t="s">
        <v>281</v>
      </c>
      <c r="L98" s="10" t="s">
        <v>58</v>
      </c>
      <c r="M98" s="16" t="s">
        <v>282</v>
      </c>
      <c r="N98" s="10" t="s">
        <v>58</v>
      </c>
      <c r="O98" s="16"/>
      <c r="P98" s="10"/>
      <c r="Q98" s="16"/>
      <c r="R98" s="10"/>
    </row>
    <row r="99" ht="15.0" customHeight="1">
      <c r="A99" s="10">
        <v>89.0</v>
      </c>
      <c r="B99" s="10">
        <v>901.0</v>
      </c>
      <c r="C99" s="11" t="s">
        <v>283</v>
      </c>
      <c r="D99" s="22" t="s">
        <v>237</v>
      </c>
      <c r="E99" s="13" t="s">
        <v>238</v>
      </c>
      <c r="F99" s="20" t="s">
        <v>81</v>
      </c>
      <c r="G99" s="10"/>
      <c r="H99" s="13"/>
      <c r="I99" s="10">
        <v>2.0</v>
      </c>
      <c r="J99" s="10" t="s">
        <v>58</v>
      </c>
      <c r="K99" s="16" t="s">
        <v>284</v>
      </c>
      <c r="L99" s="10" t="s">
        <v>58</v>
      </c>
      <c r="M99" s="16" t="s">
        <v>285</v>
      </c>
      <c r="N99" s="10" t="s">
        <v>58</v>
      </c>
      <c r="O99" s="16"/>
      <c r="P99" s="10"/>
      <c r="Q99" s="16"/>
      <c r="R99" s="10"/>
    </row>
    <row r="100" ht="15.0" customHeight="1">
      <c r="A100" s="10">
        <v>90.0</v>
      </c>
      <c r="B100" s="10">
        <v>402.0</v>
      </c>
      <c r="C100" s="11" t="s">
        <v>286</v>
      </c>
      <c r="D100" s="22" t="s">
        <v>237</v>
      </c>
      <c r="E100" s="13" t="s">
        <v>238</v>
      </c>
      <c r="F100" s="20" t="s">
        <v>81</v>
      </c>
      <c r="G100" s="10"/>
      <c r="H100" s="13"/>
      <c r="I100" s="10">
        <v>2.0</v>
      </c>
      <c r="J100" s="10" t="s">
        <v>58</v>
      </c>
      <c r="K100" s="16" t="s">
        <v>287</v>
      </c>
      <c r="L100" s="10" t="s">
        <v>58</v>
      </c>
      <c r="M100" s="16" t="s">
        <v>288</v>
      </c>
      <c r="N100" s="10" t="s">
        <v>58</v>
      </c>
      <c r="O100" s="16"/>
      <c r="P100" s="10"/>
      <c r="Q100" s="16"/>
      <c r="R100" s="10"/>
    </row>
    <row r="101" ht="15.0" customHeight="1">
      <c r="A101" s="10">
        <v>91.0</v>
      </c>
      <c r="B101" s="10">
        <v>853.0</v>
      </c>
      <c r="C101" s="11" t="s">
        <v>289</v>
      </c>
      <c r="D101" s="22" t="s">
        <v>237</v>
      </c>
      <c r="E101" s="13" t="s">
        <v>238</v>
      </c>
      <c r="F101" s="20" t="s">
        <v>81</v>
      </c>
      <c r="G101" s="10"/>
      <c r="H101" s="13"/>
      <c r="I101" s="10">
        <v>2.0</v>
      </c>
      <c r="J101" s="10" t="s">
        <v>58</v>
      </c>
      <c r="K101" s="16" t="s">
        <v>290</v>
      </c>
      <c r="L101" s="10" t="s">
        <v>58</v>
      </c>
      <c r="M101" s="16" t="s">
        <v>291</v>
      </c>
      <c r="N101" s="10" t="s">
        <v>58</v>
      </c>
      <c r="O101" s="16"/>
      <c r="P101" s="10"/>
      <c r="Q101" s="16"/>
      <c r="R101" s="10"/>
    </row>
    <row r="102" ht="23.25" customHeight="1">
      <c r="A102" s="10">
        <v>92.0</v>
      </c>
      <c r="B102" s="10">
        <v>227.0</v>
      </c>
      <c r="C102" s="11" t="s">
        <v>292</v>
      </c>
      <c r="D102" s="22" t="s">
        <v>293</v>
      </c>
      <c r="E102" s="13" t="s">
        <v>238</v>
      </c>
      <c r="F102" s="20" t="s">
        <v>81</v>
      </c>
      <c r="G102" s="10"/>
      <c r="H102" s="13"/>
      <c r="I102" s="10">
        <v>2.0</v>
      </c>
      <c r="J102" s="10" t="s">
        <v>58</v>
      </c>
      <c r="K102" s="16" t="s">
        <v>294</v>
      </c>
      <c r="L102" s="10" t="s">
        <v>58</v>
      </c>
      <c r="M102" s="16" t="s">
        <v>295</v>
      </c>
      <c r="N102" s="10" t="s">
        <v>58</v>
      </c>
      <c r="O102" s="16"/>
      <c r="P102" s="10"/>
      <c r="Q102" s="16"/>
      <c r="R102" s="10"/>
    </row>
    <row r="103" ht="15.0" customHeight="1">
      <c r="A103" s="10">
        <v>93.0</v>
      </c>
      <c r="B103" s="10">
        <v>636.0</v>
      </c>
      <c r="C103" s="11" t="s">
        <v>296</v>
      </c>
      <c r="D103" s="22" t="s">
        <v>293</v>
      </c>
      <c r="E103" s="13" t="s">
        <v>238</v>
      </c>
      <c r="F103" s="20" t="s">
        <v>81</v>
      </c>
      <c r="G103" s="19" t="s">
        <v>46</v>
      </c>
      <c r="H103" s="13"/>
      <c r="I103" s="10">
        <v>1.0</v>
      </c>
      <c r="J103" s="10" t="s">
        <v>58</v>
      </c>
      <c r="K103" s="16" t="s">
        <v>297</v>
      </c>
      <c r="L103" s="10" t="s">
        <v>58</v>
      </c>
      <c r="M103" s="16"/>
      <c r="N103" s="10"/>
      <c r="O103" s="16"/>
      <c r="P103" s="10"/>
      <c r="Q103" s="16"/>
      <c r="R103" s="10"/>
    </row>
    <row r="104" ht="15.0" customHeight="1">
      <c r="A104" s="10">
        <v>94.0</v>
      </c>
      <c r="B104" s="10">
        <v>362.0</v>
      </c>
      <c r="C104" s="11" t="s">
        <v>298</v>
      </c>
      <c r="D104" s="22" t="s">
        <v>293</v>
      </c>
      <c r="E104" s="13" t="s">
        <v>238</v>
      </c>
      <c r="F104" s="20" t="s">
        <v>81</v>
      </c>
      <c r="G104" s="19" t="s">
        <v>46</v>
      </c>
      <c r="H104" s="13"/>
      <c r="I104" s="10">
        <v>2.0</v>
      </c>
      <c r="J104" s="10" t="s">
        <v>58</v>
      </c>
      <c r="K104" s="16" t="s">
        <v>299</v>
      </c>
      <c r="L104" s="10" t="s">
        <v>58</v>
      </c>
      <c r="M104" s="16" t="s">
        <v>300</v>
      </c>
      <c r="N104" s="10" t="s">
        <v>58</v>
      </c>
      <c r="O104" s="16"/>
      <c r="P104" s="10"/>
      <c r="Q104" s="16"/>
      <c r="R104" s="10"/>
    </row>
    <row r="105" ht="15.0" customHeight="1">
      <c r="A105" s="10">
        <v>95.0</v>
      </c>
      <c r="B105" s="10">
        <v>341.0</v>
      </c>
      <c r="C105" s="11" t="s">
        <v>301</v>
      </c>
      <c r="D105" s="22" t="s">
        <v>293</v>
      </c>
      <c r="E105" s="13" t="s">
        <v>238</v>
      </c>
      <c r="F105" s="20" t="s">
        <v>81</v>
      </c>
      <c r="G105" s="10"/>
      <c r="H105" s="13"/>
      <c r="I105" s="10">
        <v>2.0</v>
      </c>
      <c r="J105" s="10" t="s">
        <v>58</v>
      </c>
      <c r="K105" s="16" t="s">
        <v>302</v>
      </c>
      <c r="L105" s="10" t="s">
        <v>58</v>
      </c>
      <c r="M105" s="16" t="s">
        <v>303</v>
      </c>
      <c r="N105" s="10" t="s">
        <v>58</v>
      </c>
      <c r="O105" s="16"/>
      <c r="P105" s="10"/>
      <c r="Q105" s="16"/>
      <c r="R105" s="10"/>
    </row>
    <row r="106" ht="15.0" customHeight="1">
      <c r="A106" s="10">
        <v>96.0</v>
      </c>
      <c r="B106" s="10">
        <v>456.0</v>
      </c>
      <c r="C106" s="11" t="s">
        <v>304</v>
      </c>
      <c r="D106" s="22" t="s">
        <v>293</v>
      </c>
      <c r="E106" s="13" t="s">
        <v>238</v>
      </c>
      <c r="F106" s="20" t="s">
        <v>81</v>
      </c>
      <c r="G106" s="10"/>
      <c r="H106" s="13"/>
      <c r="I106" s="10">
        <v>3.0</v>
      </c>
      <c r="J106" s="10" t="s">
        <v>58</v>
      </c>
      <c r="K106" s="16" t="s">
        <v>27</v>
      </c>
      <c r="L106" s="10" t="s">
        <v>58</v>
      </c>
      <c r="M106" s="16" t="s">
        <v>305</v>
      </c>
      <c r="N106" s="10" t="s">
        <v>58</v>
      </c>
      <c r="O106" s="16" t="s">
        <v>306</v>
      </c>
      <c r="P106" s="10" t="s">
        <v>58</v>
      </c>
      <c r="Q106" s="16"/>
      <c r="R106" s="10"/>
    </row>
    <row r="107" ht="23.25" customHeight="1">
      <c r="A107" s="10">
        <v>97.0</v>
      </c>
      <c r="B107" s="10">
        <v>907.0</v>
      </c>
      <c r="C107" s="11" t="s">
        <v>307</v>
      </c>
      <c r="D107" s="22" t="s">
        <v>293</v>
      </c>
      <c r="E107" s="13" t="s">
        <v>238</v>
      </c>
      <c r="F107" s="20" t="s">
        <v>81</v>
      </c>
      <c r="G107" s="10"/>
      <c r="H107" s="13"/>
      <c r="I107" s="10">
        <v>3.0</v>
      </c>
      <c r="J107" s="10" t="s">
        <v>58</v>
      </c>
      <c r="K107" s="16" t="s">
        <v>32</v>
      </c>
      <c r="L107" s="10" t="s">
        <v>58</v>
      </c>
      <c r="M107" s="16" t="s">
        <v>308</v>
      </c>
      <c r="N107" s="10" t="s">
        <v>58</v>
      </c>
      <c r="O107" s="16" t="s">
        <v>309</v>
      </c>
      <c r="P107" s="10" t="s">
        <v>58</v>
      </c>
      <c r="Q107" s="16"/>
      <c r="R107" s="10"/>
    </row>
    <row r="108" ht="15.0" customHeight="1">
      <c r="A108" s="10">
        <v>98.0</v>
      </c>
      <c r="B108" s="10">
        <v>895.0</v>
      </c>
      <c r="C108" s="11" t="s">
        <v>310</v>
      </c>
      <c r="D108" s="22" t="s">
        <v>293</v>
      </c>
      <c r="E108" s="13" t="s">
        <v>238</v>
      </c>
      <c r="F108" s="21" t="s">
        <v>137</v>
      </c>
      <c r="G108" s="10"/>
      <c r="H108" s="13"/>
      <c r="I108" s="10">
        <v>2.0</v>
      </c>
      <c r="J108" s="10" t="s">
        <v>58</v>
      </c>
      <c r="K108" s="16" t="s">
        <v>311</v>
      </c>
      <c r="L108" s="10" t="s">
        <v>58</v>
      </c>
      <c r="M108" s="16" t="s">
        <v>312</v>
      </c>
      <c r="N108" s="10" t="s">
        <v>58</v>
      </c>
      <c r="O108" s="16"/>
      <c r="P108" s="10"/>
      <c r="Q108" s="16"/>
      <c r="R108" s="10"/>
    </row>
    <row r="109" ht="15.0" customHeight="1">
      <c r="A109" s="10">
        <v>99.0</v>
      </c>
      <c r="B109" s="10">
        <v>32.0</v>
      </c>
      <c r="C109" s="11" t="s">
        <v>313</v>
      </c>
      <c r="D109" s="22" t="s">
        <v>293</v>
      </c>
      <c r="E109" s="13" t="s">
        <v>238</v>
      </c>
      <c r="F109" s="21" t="s">
        <v>137</v>
      </c>
      <c r="G109" s="10"/>
      <c r="H109" s="13"/>
      <c r="I109" s="10">
        <v>4.0</v>
      </c>
      <c r="J109" s="10" t="s">
        <v>58</v>
      </c>
      <c r="K109" s="16" t="s">
        <v>32</v>
      </c>
      <c r="L109" s="10" t="s">
        <v>58</v>
      </c>
      <c r="M109" s="16" t="s">
        <v>314</v>
      </c>
      <c r="N109" s="10" t="s">
        <v>58</v>
      </c>
      <c r="O109" s="16" t="s">
        <v>315</v>
      </c>
      <c r="P109" s="10" t="s">
        <v>58</v>
      </c>
      <c r="Q109" s="16" t="s">
        <v>316</v>
      </c>
      <c r="R109" s="10" t="s">
        <v>58</v>
      </c>
    </row>
    <row r="110" ht="15.0" customHeight="1">
      <c r="A110" s="10">
        <v>100.0</v>
      </c>
      <c r="B110" s="10">
        <v>224.0</v>
      </c>
      <c r="C110" s="11" t="s">
        <v>317</v>
      </c>
      <c r="D110" s="22" t="s">
        <v>293</v>
      </c>
      <c r="E110" s="13" t="s">
        <v>238</v>
      </c>
      <c r="F110" s="21" t="s">
        <v>137</v>
      </c>
      <c r="G110" s="10"/>
      <c r="H110" s="13"/>
      <c r="I110" s="10">
        <v>2.0</v>
      </c>
      <c r="J110" s="10" t="s">
        <v>58</v>
      </c>
      <c r="K110" s="16" t="s">
        <v>318</v>
      </c>
      <c r="L110" s="10" t="s">
        <v>58</v>
      </c>
      <c r="M110" s="16" t="s">
        <v>319</v>
      </c>
      <c r="N110" s="10" t="s">
        <v>58</v>
      </c>
      <c r="O110" s="16"/>
      <c r="P110" s="10"/>
      <c r="Q110" s="16"/>
      <c r="R110" s="10"/>
    </row>
    <row r="111" ht="15.0" customHeight="1">
      <c r="A111" s="10">
        <v>101.0</v>
      </c>
      <c r="B111" s="10">
        <v>84.0</v>
      </c>
      <c r="C111" s="11" t="s">
        <v>320</v>
      </c>
      <c r="D111" s="22" t="s">
        <v>293</v>
      </c>
      <c r="E111" s="13" t="s">
        <v>238</v>
      </c>
      <c r="F111" s="21" t="s">
        <v>137</v>
      </c>
      <c r="G111" s="17" t="s">
        <v>31</v>
      </c>
      <c r="H111" s="13"/>
      <c r="I111" s="10">
        <v>3.0</v>
      </c>
      <c r="J111" s="10" t="s">
        <v>58</v>
      </c>
      <c r="K111" s="16" t="s">
        <v>32</v>
      </c>
      <c r="L111" s="10" t="s">
        <v>58</v>
      </c>
      <c r="M111" s="16" t="s">
        <v>92</v>
      </c>
      <c r="N111" s="10" t="s">
        <v>58</v>
      </c>
      <c r="O111" s="16" t="s">
        <v>185</v>
      </c>
      <c r="P111" s="10" t="s">
        <v>58</v>
      </c>
      <c r="Q111" s="16"/>
      <c r="R111" s="10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</sheetData>
  <autoFilter ref="$A$4:$R$111"/>
  <mergeCells count="7">
    <mergeCell ref="A1:J1"/>
    <mergeCell ref="A5:R5"/>
    <mergeCell ref="A21:R21"/>
    <mergeCell ref="A27:R27"/>
    <mergeCell ref="A44:R44"/>
    <mergeCell ref="A61:R61"/>
    <mergeCell ref="A79:R79"/>
  </mergeCells>
  <dataValidations>
    <dataValidation type="list" allowBlank="1" sqref="P6:P8 P10:P11 P13 R13 P15 J6:J20 L6:L20 N6:N20 P20 J22:J26 L22:L26 N22:N26 P28 P31:P32 P34 P38 N28:N41 P40:P41 R41 J28:J43 L28:L43 N43 P43 N45:N47 P50 P56 J45:J60 L45:L60 N49:N60 P60 R60 P63 P65 P73 P75 J62:J78 L62:L78 N62:N78 P77:P78 N80:N82 P87 N84:N91 N93:N95 P97 N97:N102 P106:P107 P109 R109 J80:J111 L80:L111 N104:N111 P111">
      <formula1>"☐,✅"</formula1>
    </dataValidation>
  </dataValidations>
  <hyperlinks>
    <hyperlink r:id="rId1" ref="C6"/>
    <hyperlink r:id="rId2" ref="C7"/>
    <hyperlink r:id="rId3" ref="C8"/>
    <hyperlink r:id="rId4" ref="C9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  <hyperlink r:id="rId14" ref="C19"/>
    <hyperlink r:id="rId15" ref="C20"/>
    <hyperlink r:id="rId16" ref="C22"/>
    <hyperlink r:id="rId17" ref="C23"/>
    <hyperlink r:id="rId18" ref="C24"/>
    <hyperlink r:id="rId19" ref="C25"/>
    <hyperlink r:id="rId20" ref="C26"/>
    <hyperlink r:id="rId21" ref="C28"/>
    <hyperlink r:id="rId22" ref="C29"/>
    <hyperlink r:id="rId23" ref="C30"/>
    <hyperlink r:id="rId24" ref="C31"/>
    <hyperlink r:id="rId25" ref="C32"/>
    <hyperlink r:id="rId26" ref="C33"/>
    <hyperlink r:id="rId27" ref="C34"/>
    <hyperlink r:id="rId28" ref="C35"/>
    <hyperlink r:id="rId29" ref="C36"/>
    <hyperlink r:id="rId30" ref="C37"/>
    <hyperlink r:id="rId31" ref="C38"/>
    <hyperlink r:id="rId32" ref="C39"/>
    <hyperlink r:id="rId33" ref="C40"/>
    <hyperlink r:id="rId34" ref="C41"/>
    <hyperlink r:id="rId35" ref="C42"/>
    <hyperlink r:id="rId36" ref="C43"/>
    <hyperlink r:id="rId37" ref="C45"/>
    <hyperlink r:id="rId38" ref="C46"/>
    <hyperlink r:id="rId39" ref="C47"/>
    <hyperlink r:id="rId40" ref="C48"/>
    <hyperlink r:id="rId41" ref="C49"/>
    <hyperlink r:id="rId42" ref="C50"/>
    <hyperlink r:id="rId43" ref="C51"/>
    <hyperlink r:id="rId44" ref="C52"/>
    <hyperlink r:id="rId45" ref="C53"/>
    <hyperlink r:id="rId46" ref="C54"/>
    <hyperlink r:id="rId47" ref="C55"/>
    <hyperlink r:id="rId48" ref="C56"/>
    <hyperlink r:id="rId49" ref="C57"/>
    <hyperlink r:id="rId50" ref="C58"/>
    <hyperlink r:id="rId51" ref="C59"/>
    <hyperlink r:id="rId52" ref="C60"/>
    <hyperlink r:id="rId53" ref="C62"/>
    <hyperlink r:id="rId54" ref="C63"/>
    <hyperlink r:id="rId55" ref="C64"/>
    <hyperlink r:id="rId56" ref="C65"/>
    <hyperlink r:id="rId57" ref="C66"/>
    <hyperlink r:id="rId58" ref="C67"/>
    <hyperlink r:id="rId59" ref="C68"/>
    <hyperlink r:id="rId60" ref="C69"/>
    <hyperlink r:id="rId61" ref="C70"/>
    <hyperlink r:id="rId62" ref="C71"/>
    <hyperlink r:id="rId63" ref="C72"/>
    <hyperlink r:id="rId64" ref="C73"/>
    <hyperlink r:id="rId65" ref="C74"/>
    <hyperlink r:id="rId66" ref="C75"/>
    <hyperlink r:id="rId67" ref="C76"/>
    <hyperlink r:id="rId68" ref="C77"/>
    <hyperlink r:id="rId69" ref="C78"/>
    <hyperlink r:id="rId70" ref="C80"/>
    <hyperlink r:id="rId71" ref="C81"/>
    <hyperlink r:id="rId72" ref="C82"/>
    <hyperlink r:id="rId73" ref="C83"/>
    <hyperlink r:id="rId74" ref="C84"/>
    <hyperlink r:id="rId75" ref="C85"/>
    <hyperlink r:id="rId76" ref="C86"/>
    <hyperlink r:id="rId77" ref="C87"/>
    <hyperlink r:id="rId78" ref="C88"/>
    <hyperlink r:id="rId79" ref="C89"/>
    <hyperlink r:id="rId80" ref="C90"/>
    <hyperlink r:id="rId81" ref="C91"/>
    <hyperlink r:id="rId82" ref="C92"/>
    <hyperlink r:id="rId83" ref="C93"/>
    <hyperlink r:id="rId84" ref="C94"/>
    <hyperlink r:id="rId85" ref="C95"/>
    <hyperlink r:id="rId86" ref="C96"/>
    <hyperlink r:id="rId87" ref="C97"/>
    <hyperlink r:id="rId88" ref="C98"/>
    <hyperlink r:id="rId89" ref="C99"/>
    <hyperlink r:id="rId90" ref="C100"/>
    <hyperlink r:id="rId91" ref="C101"/>
    <hyperlink r:id="rId92" ref="C102"/>
    <hyperlink r:id="rId93" ref="C103"/>
    <hyperlink r:id="rId94" ref="C104"/>
    <hyperlink r:id="rId95" ref="C105"/>
    <hyperlink r:id="rId96" ref="C106"/>
    <hyperlink r:id="rId97" ref="C107"/>
    <hyperlink r:id="rId98" ref="C108"/>
    <hyperlink r:id="rId99" ref="C109"/>
    <hyperlink r:id="rId100" ref="C110"/>
    <hyperlink r:id="rId101" ref="C111"/>
  </hyperlinks>
  <printOptions/>
  <pageMargins bottom="1.0" footer="0.0" header="0.0" left="0.75" right="0.75" top="1.0"/>
  <pageSetup paperSize="9" orientation="portrait"/>
  <drawing r:id="rId10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42.0"/>
    <col customWidth="1" min="3" max="3" width="55.0"/>
    <col customWidth="1" min="4" max="4" width="62.0"/>
    <col customWidth="1" min="5" max="5" width="7.0"/>
    <col customWidth="1" min="6" max="26" width="8.71"/>
  </cols>
  <sheetData>
    <row r="1">
      <c r="A1" s="23" t="s">
        <v>321</v>
      </c>
    </row>
    <row r="3">
      <c r="A3" s="24" t="s">
        <v>322</v>
      </c>
      <c r="B3" s="24" t="s">
        <v>323</v>
      </c>
      <c r="C3" s="24" t="s">
        <v>324</v>
      </c>
      <c r="D3" s="24" t="s">
        <v>325</v>
      </c>
      <c r="E3" s="24" t="s">
        <v>17</v>
      </c>
    </row>
    <row r="4">
      <c r="A4" s="25" t="s">
        <v>326</v>
      </c>
      <c r="B4" s="8"/>
      <c r="C4" s="8"/>
      <c r="D4" s="8"/>
      <c r="E4" s="9"/>
    </row>
    <row r="5">
      <c r="A5" s="13" t="s">
        <v>327</v>
      </c>
      <c r="B5" s="13" t="s">
        <v>328</v>
      </c>
      <c r="C5" s="26" t="s">
        <v>329</v>
      </c>
      <c r="D5" s="16" t="s">
        <v>330</v>
      </c>
      <c r="E5" s="10" t="s">
        <v>58</v>
      </c>
    </row>
    <row r="6">
      <c r="A6" s="13" t="s">
        <v>331</v>
      </c>
      <c r="B6" s="13" t="s">
        <v>332</v>
      </c>
      <c r="C6" s="26" t="s">
        <v>333</v>
      </c>
      <c r="D6" s="16" t="s">
        <v>334</v>
      </c>
      <c r="E6" s="10" t="s">
        <v>58</v>
      </c>
    </row>
    <row r="7">
      <c r="A7" s="13" t="s">
        <v>335</v>
      </c>
      <c r="B7" s="13" t="s">
        <v>336</v>
      </c>
      <c r="C7" s="26" t="s">
        <v>337</v>
      </c>
      <c r="D7" s="16" t="s">
        <v>338</v>
      </c>
      <c r="E7" s="10" t="s">
        <v>58</v>
      </c>
    </row>
    <row r="8">
      <c r="A8" s="13" t="s">
        <v>339</v>
      </c>
      <c r="B8" s="13" t="s">
        <v>340</v>
      </c>
      <c r="C8" s="26" t="s">
        <v>341</v>
      </c>
      <c r="D8" s="16" t="s">
        <v>342</v>
      </c>
      <c r="E8" s="10" t="s">
        <v>58</v>
      </c>
    </row>
    <row r="9">
      <c r="A9" s="13" t="s">
        <v>343</v>
      </c>
      <c r="B9" s="13" t="s">
        <v>344</v>
      </c>
      <c r="C9" s="26" t="s">
        <v>345</v>
      </c>
      <c r="D9" s="16" t="s">
        <v>346</v>
      </c>
      <c r="E9" s="10" t="s">
        <v>58</v>
      </c>
    </row>
    <row r="10">
      <c r="A10" s="25" t="s">
        <v>347</v>
      </c>
      <c r="B10" s="8"/>
      <c r="C10" s="8"/>
      <c r="D10" s="8"/>
      <c r="E10" s="9"/>
    </row>
    <row r="11">
      <c r="A11" s="13" t="s">
        <v>335</v>
      </c>
      <c r="B11" s="13" t="s">
        <v>348</v>
      </c>
      <c r="C11" s="26" t="s">
        <v>349</v>
      </c>
      <c r="D11" s="16" t="s">
        <v>350</v>
      </c>
      <c r="E11" s="10" t="s">
        <v>58</v>
      </c>
    </row>
    <row r="12">
      <c r="A12" s="13" t="s">
        <v>335</v>
      </c>
      <c r="B12" s="13" t="s">
        <v>351</v>
      </c>
      <c r="C12" s="26" t="s">
        <v>352</v>
      </c>
      <c r="D12" s="16" t="s">
        <v>353</v>
      </c>
      <c r="E12" s="10" t="s">
        <v>58</v>
      </c>
    </row>
    <row r="13">
      <c r="A13" s="13" t="s">
        <v>335</v>
      </c>
      <c r="B13" s="13" t="s">
        <v>354</v>
      </c>
      <c r="C13" s="26" t="s">
        <v>355</v>
      </c>
      <c r="D13" s="16" t="s">
        <v>356</v>
      </c>
      <c r="E13" s="10" t="s">
        <v>58</v>
      </c>
    </row>
    <row r="14">
      <c r="A14" s="25" t="s">
        <v>357</v>
      </c>
      <c r="B14" s="8"/>
      <c r="C14" s="8"/>
      <c r="D14" s="8"/>
      <c r="E14" s="9"/>
    </row>
    <row r="15">
      <c r="A15" s="13" t="s">
        <v>335</v>
      </c>
      <c r="B15" s="13" t="s">
        <v>358</v>
      </c>
      <c r="C15" s="26" t="s">
        <v>359</v>
      </c>
      <c r="D15" s="16" t="s">
        <v>360</v>
      </c>
      <c r="E15" s="10" t="s">
        <v>58</v>
      </c>
    </row>
    <row r="16">
      <c r="A16" s="13" t="s">
        <v>335</v>
      </c>
      <c r="B16" s="13" t="s">
        <v>361</v>
      </c>
      <c r="C16" s="26" t="s">
        <v>362</v>
      </c>
      <c r="D16" s="16" t="s">
        <v>363</v>
      </c>
      <c r="E16" s="10" t="s">
        <v>58</v>
      </c>
    </row>
    <row r="17">
      <c r="A17" s="25" t="s">
        <v>364</v>
      </c>
      <c r="B17" s="8"/>
      <c r="C17" s="8"/>
      <c r="D17" s="8"/>
      <c r="E17" s="9"/>
    </row>
    <row r="18">
      <c r="A18" s="13" t="s">
        <v>335</v>
      </c>
      <c r="B18" s="13" t="s">
        <v>365</v>
      </c>
      <c r="C18" s="26" t="s">
        <v>366</v>
      </c>
      <c r="D18" s="16" t="s">
        <v>367</v>
      </c>
      <c r="E18" s="10" t="s">
        <v>58</v>
      </c>
    </row>
    <row r="19">
      <c r="A19" s="13" t="s">
        <v>335</v>
      </c>
      <c r="B19" s="13" t="s">
        <v>368</v>
      </c>
      <c r="C19" s="26" t="s">
        <v>369</v>
      </c>
      <c r="D19" s="16" t="s">
        <v>370</v>
      </c>
      <c r="E19" s="10" t="s">
        <v>58</v>
      </c>
    </row>
    <row r="20">
      <c r="A20" s="13" t="s">
        <v>335</v>
      </c>
      <c r="B20" s="13" t="s">
        <v>371</v>
      </c>
      <c r="C20" s="26" t="s">
        <v>372</v>
      </c>
      <c r="D20" s="16" t="s">
        <v>373</v>
      </c>
      <c r="E20" s="10" t="s">
        <v>58</v>
      </c>
    </row>
    <row r="21" ht="15.75" customHeight="1">
      <c r="A21" s="25" t="s">
        <v>374</v>
      </c>
      <c r="B21" s="8"/>
      <c r="C21" s="8"/>
      <c r="D21" s="8"/>
      <c r="E21" s="9"/>
    </row>
    <row r="22" ht="15.75" customHeight="1">
      <c r="A22" s="13" t="s">
        <v>335</v>
      </c>
      <c r="B22" s="13" t="s">
        <v>375</v>
      </c>
      <c r="C22" s="26" t="s">
        <v>355</v>
      </c>
      <c r="D22" s="16" t="s">
        <v>376</v>
      </c>
      <c r="E22" s="10" t="s">
        <v>58</v>
      </c>
    </row>
    <row r="23" ht="15.75" customHeight="1">
      <c r="A23" s="13" t="s">
        <v>335</v>
      </c>
      <c r="B23" s="13" t="s">
        <v>377</v>
      </c>
      <c r="C23" s="26" t="s">
        <v>378</v>
      </c>
      <c r="D23" s="16" t="s">
        <v>379</v>
      </c>
      <c r="E23" s="10" t="s">
        <v>58</v>
      </c>
    </row>
    <row r="24" ht="15.75" customHeight="1">
      <c r="A24" s="13" t="s">
        <v>331</v>
      </c>
      <c r="B24" s="13" t="s">
        <v>380</v>
      </c>
      <c r="C24" s="26" t="s">
        <v>333</v>
      </c>
      <c r="D24" s="16" t="s">
        <v>381</v>
      </c>
      <c r="E24" s="10" t="s">
        <v>58</v>
      </c>
    </row>
    <row r="25" ht="15.75" customHeight="1">
      <c r="A25" s="25" t="s">
        <v>382</v>
      </c>
      <c r="B25" s="8"/>
      <c r="C25" s="8"/>
      <c r="D25" s="8"/>
      <c r="E25" s="9"/>
    </row>
    <row r="26" ht="15.75" customHeight="1">
      <c r="A26" s="13" t="s">
        <v>335</v>
      </c>
      <c r="B26" s="13" t="s">
        <v>383</v>
      </c>
      <c r="C26" s="26" t="s">
        <v>384</v>
      </c>
      <c r="D26" s="16" t="s">
        <v>385</v>
      </c>
      <c r="E26" s="10" t="s">
        <v>58</v>
      </c>
    </row>
    <row r="27" ht="15.75" customHeight="1">
      <c r="A27" s="13" t="s">
        <v>335</v>
      </c>
      <c r="B27" s="13" t="s">
        <v>386</v>
      </c>
      <c r="C27" s="26" t="s">
        <v>387</v>
      </c>
      <c r="D27" s="16" t="s">
        <v>388</v>
      </c>
      <c r="E27" s="10" t="s">
        <v>58</v>
      </c>
    </row>
    <row r="28" ht="15.75" customHeight="1">
      <c r="A28" s="13" t="s">
        <v>335</v>
      </c>
      <c r="B28" s="13" t="s">
        <v>389</v>
      </c>
      <c r="C28" s="26" t="s">
        <v>390</v>
      </c>
      <c r="D28" s="16" t="s">
        <v>391</v>
      </c>
      <c r="E28" s="10" t="s">
        <v>58</v>
      </c>
    </row>
    <row r="29" ht="15.75" customHeight="1">
      <c r="A29" s="25" t="s">
        <v>392</v>
      </c>
      <c r="B29" s="8"/>
      <c r="C29" s="8"/>
      <c r="D29" s="8"/>
      <c r="E29" s="9"/>
    </row>
    <row r="30" ht="15.75" customHeight="1">
      <c r="A30" s="13" t="s">
        <v>335</v>
      </c>
      <c r="B30" s="13" t="s">
        <v>393</v>
      </c>
      <c r="C30" s="26" t="s">
        <v>394</v>
      </c>
      <c r="D30" s="16" t="s">
        <v>395</v>
      </c>
      <c r="E30" s="10" t="s">
        <v>58</v>
      </c>
    </row>
    <row r="31" ht="15.75" customHeight="1">
      <c r="A31" s="13" t="s">
        <v>335</v>
      </c>
      <c r="B31" s="13" t="s">
        <v>396</v>
      </c>
      <c r="C31" s="26" t="s">
        <v>397</v>
      </c>
      <c r="D31" s="16" t="s">
        <v>398</v>
      </c>
      <c r="E31" s="10" t="s">
        <v>58</v>
      </c>
    </row>
    <row r="32" ht="15.75" customHeight="1">
      <c r="A32" s="13" t="s">
        <v>335</v>
      </c>
      <c r="B32" s="13" t="s">
        <v>399</v>
      </c>
      <c r="C32" s="26" t="s">
        <v>400</v>
      </c>
      <c r="D32" s="16" t="s">
        <v>401</v>
      </c>
      <c r="E32" s="10" t="s">
        <v>58</v>
      </c>
    </row>
    <row r="33" ht="15.75" customHeight="1">
      <c r="A33" s="13" t="s">
        <v>331</v>
      </c>
      <c r="B33" s="13" t="s">
        <v>402</v>
      </c>
      <c r="C33" s="26" t="s">
        <v>333</v>
      </c>
      <c r="D33" s="16" t="s">
        <v>403</v>
      </c>
      <c r="E33" s="10" t="s">
        <v>58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E1"/>
    <mergeCell ref="A4:E4"/>
    <mergeCell ref="A10:E10"/>
    <mergeCell ref="A14:E14"/>
    <mergeCell ref="A17:E17"/>
    <mergeCell ref="A21:E21"/>
    <mergeCell ref="A25:E25"/>
    <mergeCell ref="A29:E29"/>
  </mergeCells>
  <dataValidations>
    <dataValidation type="list" allowBlank="1" sqref="E5:E9 E11:E13 E15:E16 E18:E20 E22:E24 E26:E28 E30:E33">
      <formula1>"☐,✅"</formula1>
    </dataValidation>
  </dataValidations>
  <hyperlinks>
    <hyperlink r:id="rId1" ref="C5"/>
    <hyperlink r:id="rId2" ref="C6"/>
    <hyperlink r:id="rId3" ref="C7"/>
    <hyperlink r:id="rId4" ref="C8"/>
    <hyperlink r:id="rId5" ref="C9"/>
    <hyperlink r:id="rId6" ref="C11"/>
    <hyperlink r:id="rId7" ref="C12"/>
    <hyperlink r:id="rId8" ref="C13"/>
    <hyperlink r:id="rId9" ref="C15"/>
    <hyperlink r:id="rId10" ref="C16"/>
    <hyperlink r:id="rId11" ref="C18"/>
    <hyperlink r:id="rId12" ref="C19"/>
    <hyperlink r:id="rId13" ref="C20"/>
    <hyperlink r:id="rId14" ref="C22"/>
    <hyperlink r:id="rId15" ref="C23"/>
    <hyperlink r:id="rId16" ref="C24"/>
    <hyperlink r:id="rId17" ref="C26"/>
    <hyperlink r:id="rId18" ref="C27"/>
    <hyperlink r:id="rId19" ref="C28"/>
    <hyperlink r:id="rId20" ref="C30"/>
    <hyperlink r:id="rId21" ref="C31"/>
    <hyperlink r:id="rId22" ref="C32"/>
    <hyperlink r:id="rId23" ref="C33"/>
  </hyperlinks>
  <printOptions/>
  <pageMargins bottom="1.0" footer="0.0" header="0.0" left="0.75" right="0.75" top="1.0"/>
  <pageSetup paperSize="9" orientation="portrait"/>
  <drawing r:id="rId24"/>
</worksheet>
</file>